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content" sheetId="2" state="visible" r:id="rId4"/>
    <sheet name="checks" sheetId="3" state="visible" r:id="rId5"/>
  </sheets>
  <definedNames>
    <definedName function="false" hidden="true" localSheetId="1" name="_xlnm._FilterDatabase" vbProcedure="false">content!$A$1:$T$121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<sst xmlns="http://schemas.openxmlformats.org/spreadsheetml/2006/main" count="1277" uniqueCount="222">
  <si>
    <t xml:space="preserve">SemaSmart course content template: Japanese, Unit 1 (draft)</t>
  </si>
  <si>
    <t xml:space="preserve">One row per answer option. An import script reads the content sheet and creates the course content. Same format as the German template.</t>
  </si>
  <si>
    <t xml:space="preserve">WHAT TO EDIT</t>
  </si>
  <si>
    <t xml:space="preserve">Edit the white cells in columns A to Q on the content sheet. Columns R to T (grey headers) are formulas: do not type there.</t>
  </si>
  <si>
    <t xml:space="preserve">To add a challenge: copy the option rows of an existing challenge (including columns R to T) to the bottom, give it a new unique key and challenge_order, then change the text.</t>
  </si>
  <si>
    <t xml:space="preserve">The first challenge on the content sheet (rows 2 to 4) is the worked example of the format.</t>
  </si>
  <si>
    <t xml:space="preserve">CHALLENGE TYPES</t>
  </si>
  <si>
    <t xml:space="preserve">SELECT: the student sees an English prompt and picks the matching Japanese card from a grid. Options are spoken when tapped.</t>
  </si>
  <si>
    <t xml:space="preserve">ASSIST: the student sees a Japanese word or phrase and picks its English meaning from a list.</t>
  </si>
  <si>
    <t xml:space="preserve">LISTEN: the student hears the audio of the correct option and picks the matching text from text-only cards. This type does not exist in the app yet: add it first (see the prompt in the chat) before importing these rows.</t>
  </si>
  <si>
    <t xml:space="preserve">RULES</t>
  </si>
  <si>
    <t xml:space="preserve">1. Exactly one correct option per challenge and 2 to 4 options. The checks sheet and column T flag any breach.</t>
  </si>
  <si>
    <t xml:space="preserve">2. The app does not shuffle options, so the order in this sheet is the order students see. The position of the correct answer is varied on purpose; keep it varied when you add content.</t>
  </si>
  <si>
    <t xml:space="preserve">3. Keep wrong options in the same language as the right one and avoid a wrong option that is also acceptable.</t>
  </si>
  <si>
    <t xml:space="preserve">4. Do not set ids. Re-importing must update rows by key and must never delete rows, because deleting a challenge deletes student progress.</t>
  </si>
  <si>
    <t xml:space="preserve">REVIEW WORKFLOW</t>
  </si>
  <si>
    <t xml:space="preserve">draft: written but not checked. reviewed: a native speaker or teacher has checked every row of the challenge. rejected: do not use. Only reviewed rows go to production.</t>
  </si>
  <si>
    <t xml:space="preserve">AUDIO</t>
  </si>
  <si>
    <t xml:space="preserve">Japanese: audio_text holds the kana. The single-kana clips in lessons 1 and 2 are best recorded by a native speaker, because text-to-speech can misread isolated characters.</t>
  </si>
  <si>
    <t xml:space="preserve">ASSUMPTIONS (please confirm or change)</t>
  </si>
  <si>
    <t xml:space="preserve">Level: absolute beginner. Shape: 5 lessons per unit, 8 challenges per lesson, 3 options per challenge (the proposed launch shape, not a limit of the app).</t>
  </si>
  <si>
    <t xml:space="preserve">All content was drafted by Claude and has not been checked by a Japanese speaker yet, so every row is draft. Check every character, tone mark or kana and every romanisation.</t>
  </si>
  <si>
    <t xml:space="preserve">The course flag image /jp.svg must exist in the app's public folder before the course is shown to students.</t>
  </si>
  <si>
    <t xml:space="preserve">COLUMN GUIDE (example values from the first challenge)</t>
  </si>
  <si>
    <t xml:space="preserve">column</t>
  </si>
  <si>
    <t xml:space="preserve">required</t>
  </si>
  <si>
    <t xml:space="preserve">what to enter</t>
  </si>
  <si>
    <t xml:space="preserve">example</t>
  </si>
  <si>
    <t xml:space="preserve">key</t>
  </si>
  <si>
    <t xml:space="preserve">yes</t>
  </si>
  <si>
    <t xml:space="preserve">Stable id of the challenge. Same on every option row of that challenge. Never change it once students use it.</t>
  </si>
  <si>
    <t xml:space="preserve">ja-u01-l01-c01</t>
  </si>
  <si>
    <t xml:space="preserve">course</t>
  </si>
  <si>
    <t xml:space="preserve">Course title exactly as in the app. Create the course in /admin first (title and flag image).</t>
  </si>
  <si>
    <t xml:space="preserve">Japanese</t>
  </si>
  <si>
    <t xml:space="preserve">unit_order / unit_title / unit_description</t>
  </si>
  <si>
    <t xml:space="preserve">Unit number, label and the one-line description shown on the unit banner.</t>
  </si>
  <si>
    <t xml:space="preserve">1 / Unit 1 / Hiragana, greetings and numbers 1 to 5</t>
  </si>
  <si>
    <t xml:space="preserve">lesson_order / lesson_title</t>
  </si>
  <si>
    <t xml:space="preserve">Lesson number within the unit and its title.</t>
  </si>
  <si>
    <r>
      <rPr>
        <sz val="10"/>
        <rFont val="Arial"/>
        <family val="0"/>
        <charset val="1"/>
      </rPr>
      <t xml:space="preserve">1 / Vowels: </t>
    </r>
    <r>
      <rPr>
        <sz val="10"/>
        <rFont val="Noto Sans CJK SC"/>
        <family val="2"/>
      </rPr>
      <t xml:space="preserve">あ い う え お</t>
    </r>
  </si>
  <si>
    <t xml:space="preserve">challenge_order</t>
  </si>
  <si>
    <t xml:space="preserve">Position of the challenge within the lesson (1, 2, 3 ...).</t>
  </si>
  <si>
    <t xml:space="preserve">type</t>
  </si>
  <si>
    <t xml:space="preserve">SELECT, ASSIST or LISTEN (see below).</t>
  </si>
  <si>
    <t xml:space="preserve">SELECT</t>
  </si>
  <si>
    <t xml:space="preserve">question</t>
  </si>
  <si>
    <t xml:space="preserve">SELECT: the full English prompt. ASSIST: the Japanese word or phrase to translate. LISTEN: the instruction shown above the speaker button.</t>
  </si>
  <si>
    <t xml:space="preserve">Which one of these is "a"?</t>
  </si>
  <si>
    <t xml:space="preserve">option_text</t>
  </si>
  <si>
    <t xml:space="preserve">One answer option per row. 2 to 4 options per challenge.</t>
  </si>
  <si>
    <t xml:space="preserve">い</t>
  </si>
  <si>
    <t xml:space="preserve">correct</t>
  </si>
  <si>
    <t xml:space="preserve">TRUE for exactly one option per challenge, FALSE for the rest.</t>
  </si>
  <si>
    <t xml:space="preserve">image_file</t>
  </si>
  <si>
    <t xml:space="preserve">no</t>
  </si>
  <si>
    <t xml:space="preserve">Optional file name of an image in the app's public folder. Leave empty if there is none.</t>
  </si>
  <si>
    <t xml:space="preserve">(empty)</t>
  </si>
  <si>
    <t xml:space="preserve">audio_text</t>
  </si>
  <si>
    <t xml:space="preserve">Text to turn into speech for this option. Required on the correct option of every LISTEN challenge. Empty for English options.</t>
  </si>
  <si>
    <r>
      <rPr>
        <sz val="10"/>
        <rFont val="Arial"/>
        <family val="0"/>
        <charset val="1"/>
      </rPr>
      <t xml:space="preserve">kana, e.g. </t>
    </r>
    <r>
      <rPr>
        <sz val="10"/>
        <rFont val="Noto Sans CJK SC"/>
        <family val="2"/>
      </rPr>
      <t xml:space="preserve">あ</t>
    </r>
  </si>
  <si>
    <t xml:space="preserve">audio_file</t>
  </si>
  <si>
    <t xml:space="preserve">Filled in by the audio pipeline later. Do not type here.</t>
  </si>
  <si>
    <t xml:space="preserve">status</t>
  </si>
  <si>
    <t xml:space="preserve">draft, reviewed or rejected (see workflow).</t>
  </si>
  <si>
    <t xml:space="preserve">draft</t>
  </si>
  <si>
    <t xml:space="preserve">notes</t>
  </si>
  <si>
    <t xml:space="preserve">Free text for reviewers. Not imported.</t>
  </si>
  <si>
    <t xml:space="preserve">unit_order</t>
  </si>
  <si>
    <t xml:space="preserve">unit_title</t>
  </si>
  <si>
    <t xml:space="preserve">unit_description</t>
  </si>
  <si>
    <t xml:space="preserve">lesson_order</t>
  </si>
  <si>
    <t xml:space="preserve">lesson_title</t>
  </si>
  <si>
    <t xml:space="preserve">options_in_challenge (calc)</t>
  </si>
  <si>
    <t xml:space="preserve">correct_in_challenge (calc)</t>
  </si>
  <si>
    <t xml:space="preserve">check (calc)</t>
  </si>
  <si>
    <t xml:space="preserve">Unit 1</t>
  </si>
  <si>
    <t xml:space="preserve">Hiragana, greetings and numbers 1 to 5</t>
  </si>
  <si>
    <r>
      <rPr>
        <sz val="10"/>
        <rFont val="Arial"/>
        <family val="0"/>
        <charset val="1"/>
      </rPr>
      <t xml:space="preserve">Vowels: </t>
    </r>
    <r>
      <rPr>
        <sz val="10"/>
        <rFont val="Noto Sans CJK SC"/>
        <family val="2"/>
      </rPr>
      <t xml:space="preserve">あ い う え お</t>
    </r>
  </si>
  <si>
    <t xml:space="preserve">う</t>
  </si>
  <si>
    <t xml:space="preserve">あ</t>
  </si>
  <si>
    <t xml:space="preserve">ja-u01-l01-c02</t>
  </si>
  <si>
    <t xml:space="preserve">Which one of these is "i"?</t>
  </si>
  <si>
    <t xml:space="preserve">え</t>
  </si>
  <si>
    <t xml:space="preserve">ja-u01-l01-c03</t>
  </si>
  <si>
    <t xml:space="preserve">Which one of these is "u"?</t>
  </si>
  <si>
    <t xml:space="preserve">お</t>
  </si>
  <si>
    <t xml:space="preserve">ja-u01-l01-c04</t>
  </si>
  <si>
    <t xml:space="preserve">Which one of these is "e"?</t>
  </si>
  <si>
    <t xml:space="preserve">ja-u01-l01-c05</t>
  </si>
  <si>
    <t xml:space="preserve">Which one of these is "o"?</t>
  </si>
  <si>
    <t xml:space="preserve">ja-u01-l01-c06</t>
  </si>
  <si>
    <t xml:space="preserve">LISTEN</t>
  </si>
  <si>
    <t xml:space="preserve">Listen and choose what you hear</t>
  </si>
  <si>
    <t xml:space="preserve">Single-kana audio: best recorded by a native speaker.</t>
  </si>
  <si>
    <t xml:space="preserve">ja-u01-l01-c07</t>
  </si>
  <si>
    <t xml:space="preserve">ja-u01-l01-c08</t>
  </si>
  <si>
    <t xml:space="preserve">ja-u01-l02-c01</t>
  </si>
  <si>
    <r>
      <rPr>
        <sz val="10"/>
        <rFont val="Noto Sans CJK SC"/>
        <family val="2"/>
      </rPr>
      <t xml:space="preserve">か行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か き く け こ</t>
    </r>
  </si>
  <si>
    <t xml:space="preserve">Which one of these is "ka"?</t>
  </si>
  <si>
    <t xml:space="preserve">か</t>
  </si>
  <si>
    <t xml:space="preserve">き</t>
  </si>
  <si>
    <t xml:space="preserve">く</t>
  </si>
  <si>
    <t xml:space="preserve">ja-u01-l02-c02</t>
  </si>
  <si>
    <t xml:space="preserve">Which one of these is "ki"?</t>
  </si>
  <si>
    <t xml:space="preserve">け</t>
  </si>
  <si>
    <t xml:space="preserve">ja-u01-l02-c03</t>
  </si>
  <si>
    <t xml:space="preserve">Which one of these is "ku"?</t>
  </si>
  <si>
    <t xml:space="preserve">こ</t>
  </si>
  <si>
    <t xml:space="preserve">ja-u01-l02-c04</t>
  </si>
  <si>
    <t xml:space="preserve">Which one of these is "ke"?</t>
  </si>
  <si>
    <t xml:space="preserve">ja-u01-l02-c05</t>
  </si>
  <si>
    <t xml:space="preserve">Which one of these is "ko"?</t>
  </si>
  <si>
    <t xml:space="preserve">ja-u01-l02-c06</t>
  </si>
  <si>
    <t xml:space="preserve">ja-u01-l02-c07</t>
  </si>
  <si>
    <t xml:space="preserve">ja-u01-l02-c08</t>
  </si>
  <si>
    <t xml:space="preserve">ASSIST</t>
  </si>
  <si>
    <t xml:space="preserve">ku</t>
  </si>
  <si>
    <t xml:space="preserve">The app heading reads 'Select the correct meaning' here; the answer is the romaji sound.</t>
  </si>
  <si>
    <t xml:space="preserve">ki</t>
  </si>
  <si>
    <t xml:space="preserve">ke</t>
  </si>
  <si>
    <t xml:space="preserve">ja-u01-l03-c01</t>
  </si>
  <si>
    <t xml:space="preserve">Greetings</t>
  </si>
  <si>
    <r>
      <rPr>
        <sz val="10"/>
        <rFont val="Noto Sans CJK SC"/>
        <family val="2"/>
      </rPr>
      <t xml:space="preserve">こんにちは </t>
    </r>
    <r>
      <rPr>
        <sz val="10"/>
        <rFont val="Arial"/>
        <family val="0"/>
        <charset val="1"/>
      </rPr>
      <t xml:space="preserve">(konnichiwa)</t>
    </r>
  </si>
  <si>
    <t xml:space="preserve">goodbye</t>
  </si>
  <si>
    <r>
      <rPr>
        <sz val="10"/>
        <rFont val="Arial"/>
        <family val="0"/>
        <charset val="1"/>
      </rPr>
      <t xml:space="preserve">Written with </t>
    </r>
    <r>
      <rPr>
        <sz val="10"/>
        <rFont val="Noto Sans CJK SC"/>
        <family val="2"/>
      </rPr>
      <t xml:space="preserve">は</t>
    </r>
    <r>
      <rPr>
        <sz val="10"/>
        <rFont val="Arial"/>
        <family val="0"/>
        <charset val="1"/>
      </rPr>
      <t xml:space="preserve">, pronounced wa.</t>
    </r>
  </si>
  <si>
    <t xml:space="preserve">hello / good afternoon</t>
  </si>
  <si>
    <t xml:space="preserve">thank you</t>
  </si>
  <si>
    <t xml:space="preserve">ja-u01-l03-c02</t>
  </si>
  <si>
    <r>
      <rPr>
        <sz val="10"/>
        <rFont val="Noto Sans CJK SC"/>
        <family val="2"/>
      </rPr>
      <t xml:space="preserve">ありがとう </t>
    </r>
    <r>
      <rPr>
        <sz val="10"/>
        <rFont val="Arial"/>
        <family val="0"/>
        <charset val="1"/>
      </rPr>
      <t xml:space="preserve">(arigatō)</t>
    </r>
  </si>
  <si>
    <t xml:space="preserve">hello</t>
  </si>
  <si>
    <t xml:space="preserve">sorry</t>
  </si>
  <si>
    <t xml:space="preserve">ja-u01-l03-c03</t>
  </si>
  <si>
    <t xml:space="preserve">こんにちは</t>
  </si>
  <si>
    <r>
      <rPr>
        <sz val="10"/>
        <rFont val="Noto Sans CJK SC"/>
        <family val="2"/>
      </rPr>
      <t xml:space="preserve">さようなら </t>
    </r>
    <r>
      <rPr>
        <sz val="10"/>
        <rFont val="Arial"/>
        <family val="0"/>
        <charset val="1"/>
      </rPr>
      <t xml:space="preserve">(sayōnara)</t>
    </r>
  </si>
  <si>
    <t xml:space="preserve">さようなら</t>
  </si>
  <si>
    <t xml:space="preserve">ありがとう</t>
  </si>
  <si>
    <t xml:space="preserve">ja-u01-l03-c04</t>
  </si>
  <si>
    <t xml:space="preserve">good morning</t>
  </si>
  <si>
    <t xml:space="preserve">ja-u01-l03-c05</t>
  </si>
  <si>
    <r>
      <rPr>
        <sz val="10"/>
        <rFont val="Noto Sans CJK SC"/>
        <family val="2"/>
      </rPr>
      <t xml:space="preserve">おはよう </t>
    </r>
    <r>
      <rPr>
        <sz val="10"/>
        <rFont val="Arial"/>
        <family val="0"/>
        <charset val="1"/>
      </rPr>
      <t xml:space="preserve">(ohayō)</t>
    </r>
  </si>
  <si>
    <t xml:space="preserve">good evening</t>
  </si>
  <si>
    <t xml:space="preserve">ja-u01-l03-c06</t>
  </si>
  <si>
    <t xml:space="preserve">Which one of these is "thank you"?</t>
  </si>
  <si>
    <t xml:space="preserve">おはよう</t>
  </si>
  <si>
    <t xml:space="preserve">ja-u01-l03-c07</t>
  </si>
  <si>
    <r>
      <rPr>
        <sz val="10"/>
        <rFont val="Noto Sans CJK SC"/>
        <family val="2"/>
      </rPr>
      <t xml:space="preserve">すみません </t>
    </r>
    <r>
      <rPr>
        <sz val="10"/>
        <rFont val="Arial"/>
        <family val="0"/>
        <charset val="1"/>
      </rPr>
      <t xml:space="preserve">(sumimasen)</t>
    </r>
  </si>
  <si>
    <t xml:space="preserve">excuse me / sorry</t>
  </si>
  <si>
    <t xml:space="preserve">ja-u01-l03-c08</t>
  </si>
  <si>
    <t xml:space="preserve">すみません</t>
  </si>
  <si>
    <t xml:space="preserve">ja-u01-l04-c01</t>
  </si>
  <si>
    <t xml:space="preserve">Yes, no and introductions</t>
  </si>
  <si>
    <r>
      <rPr>
        <sz val="10"/>
        <rFont val="Noto Sans CJK SC"/>
        <family val="2"/>
      </rPr>
      <t xml:space="preserve">はい </t>
    </r>
    <r>
      <rPr>
        <sz val="10"/>
        <rFont val="Arial"/>
        <family val="0"/>
        <charset val="1"/>
      </rPr>
      <t xml:space="preserve">(hai)</t>
    </r>
  </si>
  <si>
    <t xml:space="preserve">ja-u01-l04-c02</t>
  </si>
  <si>
    <r>
      <rPr>
        <sz val="10"/>
        <rFont val="Noto Sans CJK SC"/>
        <family val="2"/>
      </rPr>
      <t xml:space="preserve">いいえ </t>
    </r>
    <r>
      <rPr>
        <sz val="10"/>
        <rFont val="Arial"/>
        <family val="0"/>
        <charset val="1"/>
      </rPr>
      <t xml:space="preserve">(iie)</t>
    </r>
  </si>
  <si>
    <t xml:space="preserve">ja-u01-l04-c03</t>
  </si>
  <si>
    <t xml:space="preserve">はい</t>
  </si>
  <si>
    <t xml:space="preserve">いいえ</t>
  </si>
  <si>
    <t xml:space="preserve">ja-u01-l04-c04</t>
  </si>
  <si>
    <r>
      <rPr>
        <sz val="10"/>
        <rFont val="Noto Sans CJK SC"/>
        <family val="2"/>
      </rPr>
      <t xml:space="preserve">わたし </t>
    </r>
    <r>
      <rPr>
        <sz val="10"/>
        <rFont val="Arial"/>
        <family val="0"/>
        <charset val="1"/>
      </rPr>
      <t xml:space="preserve">(watashi)</t>
    </r>
  </si>
  <si>
    <t xml:space="preserve">I / me</t>
  </si>
  <si>
    <t xml:space="preserve">you</t>
  </si>
  <si>
    <t xml:space="preserve">ja-u01-l04-c05</t>
  </si>
  <si>
    <r>
      <rPr>
        <sz val="10"/>
        <rFont val="Noto Sans CJK SC"/>
        <family val="2"/>
      </rPr>
      <t xml:space="preserve">はじめまして </t>
    </r>
    <r>
      <rPr>
        <sz val="10"/>
        <rFont val="Arial"/>
        <family val="0"/>
        <charset val="1"/>
      </rPr>
      <t xml:space="preserve">(hajimemashite)</t>
    </r>
  </si>
  <si>
    <t xml:space="preserve">Goodbye</t>
  </si>
  <si>
    <t xml:space="preserve">Nice to meet you</t>
  </si>
  <si>
    <t xml:space="preserve">Thank you</t>
  </si>
  <si>
    <t xml:space="preserve">ja-u01-l04-c06</t>
  </si>
  <si>
    <t xml:space="preserve">Which one of these is "I am Ana"?</t>
  </si>
  <si>
    <t xml:space="preserve">はじめまして</t>
  </si>
  <si>
    <r>
      <rPr>
        <sz val="10"/>
        <rFont val="Noto Sans CJK SC"/>
        <family val="2"/>
      </rPr>
      <t xml:space="preserve">アナ </t>
    </r>
    <r>
      <rPr>
        <sz val="10"/>
        <rFont val="Arial"/>
        <family val="0"/>
        <charset val="1"/>
      </rPr>
      <t xml:space="preserve">is katakana, which comes in a later unit; it is only a name here.</t>
    </r>
  </si>
  <si>
    <r>
      <rPr>
        <sz val="10"/>
        <rFont val="Noto Sans CJK SC"/>
        <family val="2"/>
      </rPr>
      <t xml:space="preserve">わたしは アナです </t>
    </r>
    <r>
      <rPr>
        <sz val="10"/>
        <rFont val="Arial"/>
        <family val="0"/>
        <charset val="1"/>
      </rPr>
      <t xml:space="preserve">(watashi wa Ana desu)</t>
    </r>
  </si>
  <si>
    <t xml:space="preserve">わたしは アナです</t>
  </si>
  <si>
    <t xml:space="preserve">ja-u01-l04-c07</t>
  </si>
  <si>
    <t xml:space="preserve">I am Ana.</t>
  </si>
  <si>
    <t xml:space="preserve">Ana is my friend.</t>
  </si>
  <si>
    <t xml:space="preserve">Where is Ana?</t>
  </si>
  <si>
    <t xml:space="preserve">ja-u01-l04-c08</t>
  </si>
  <si>
    <t xml:space="preserve">ja-u01-l05-c01</t>
  </si>
  <si>
    <t xml:space="preserve">Numbers 1 to 5</t>
  </si>
  <si>
    <r>
      <rPr>
        <sz val="10"/>
        <rFont val="Noto Sans CJK SC"/>
        <family val="2"/>
      </rPr>
      <t xml:space="preserve">いち </t>
    </r>
    <r>
      <rPr>
        <sz val="10"/>
        <rFont val="Arial"/>
        <family val="0"/>
        <charset val="1"/>
      </rPr>
      <t xml:space="preserve">(ichi)</t>
    </r>
  </si>
  <si>
    <t xml:space="preserve">two</t>
  </si>
  <si>
    <t xml:space="preserve">one</t>
  </si>
  <si>
    <t xml:space="preserve">three</t>
  </si>
  <si>
    <t xml:space="preserve">ja-u01-l05-c02</t>
  </si>
  <si>
    <r>
      <rPr>
        <sz val="10"/>
        <rFont val="Noto Sans CJK SC"/>
        <family val="2"/>
      </rPr>
      <t xml:space="preserve">に </t>
    </r>
    <r>
      <rPr>
        <sz val="10"/>
        <rFont val="Arial"/>
        <family val="0"/>
        <charset val="1"/>
      </rPr>
      <t xml:space="preserve">(ni)</t>
    </r>
  </si>
  <si>
    <t xml:space="preserve">five</t>
  </si>
  <si>
    <t xml:space="preserve">ja-u01-l05-c03</t>
  </si>
  <si>
    <r>
      <rPr>
        <sz val="10"/>
        <rFont val="Noto Sans CJK SC"/>
        <family val="2"/>
      </rPr>
      <t xml:space="preserve">さん </t>
    </r>
    <r>
      <rPr>
        <sz val="10"/>
        <rFont val="Arial"/>
        <family val="0"/>
        <charset val="1"/>
      </rPr>
      <t xml:space="preserve">(san)</t>
    </r>
  </si>
  <si>
    <t xml:space="preserve">four</t>
  </si>
  <si>
    <t xml:space="preserve">ja-u01-l05-c04</t>
  </si>
  <si>
    <r>
      <rPr>
        <sz val="10"/>
        <rFont val="Noto Sans CJK SC"/>
        <family val="2"/>
      </rPr>
      <t xml:space="preserve">よん </t>
    </r>
    <r>
      <rPr>
        <sz val="10"/>
        <rFont val="Arial"/>
        <family val="0"/>
        <charset val="1"/>
      </rPr>
      <t xml:space="preserve">(yon)</t>
    </r>
  </si>
  <si>
    <r>
      <rPr>
        <sz val="10"/>
        <rFont val="Noto Sans CJK SC"/>
        <family val="2"/>
      </rPr>
      <t xml:space="preserve">よん </t>
    </r>
    <r>
      <rPr>
        <sz val="10"/>
        <rFont val="Arial"/>
        <family val="0"/>
        <charset val="1"/>
      </rPr>
      <t xml:space="preserve">is the everyday word for four; </t>
    </r>
    <r>
      <rPr>
        <sz val="10"/>
        <rFont val="Noto Sans CJK SC"/>
        <family val="2"/>
      </rPr>
      <t xml:space="preserve">し </t>
    </r>
    <r>
      <rPr>
        <sz val="10"/>
        <rFont val="Arial"/>
        <family val="0"/>
        <charset val="1"/>
      </rPr>
      <t xml:space="preserve">(shi) appears in some fixed words.</t>
    </r>
  </si>
  <si>
    <t xml:space="preserve">ja-u01-l05-c05</t>
  </si>
  <si>
    <r>
      <rPr>
        <sz val="10"/>
        <rFont val="Noto Sans CJK SC"/>
        <family val="2"/>
      </rPr>
      <t xml:space="preserve">ご </t>
    </r>
    <r>
      <rPr>
        <sz val="10"/>
        <rFont val="Arial"/>
        <family val="0"/>
        <charset val="1"/>
      </rPr>
      <t xml:space="preserve">(go)</t>
    </r>
  </si>
  <si>
    <t xml:space="preserve">ja-u01-l05-c06</t>
  </si>
  <si>
    <t xml:space="preserve">さん</t>
  </si>
  <si>
    <t xml:space="preserve">ご</t>
  </si>
  <si>
    <t xml:space="preserve">よん</t>
  </si>
  <si>
    <t xml:space="preserve">ja-u01-l05-c07</t>
  </si>
  <si>
    <t xml:space="preserve">Which one of these is "two"?</t>
  </si>
  <si>
    <t xml:space="preserve">いち</t>
  </si>
  <si>
    <t xml:space="preserve">に</t>
  </si>
  <si>
    <t xml:space="preserve">ja-u01-l05-c08</t>
  </si>
  <si>
    <t xml:space="preserve">Checks (all values are formulas over the content sheet)</t>
  </si>
  <si>
    <t xml:space="preserve">Option rows</t>
  </si>
  <si>
    <t xml:space="preserve">Every row is one answer option.</t>
  </si>
  <si>
    <t xml:space="preserve">Challenges: SELECT</t>
  </si>
  <si>
    <t xml:space="preserve">Counts the correct option of each SELECT challenge.</t>
  </si>
  <si>
    <t xml:space="preserve">Challenges: ASSIST</t>
  </si>
  <si>
    <t xml:space="preserve">Counts the correct option of each ASSIST challenge.</t>
  </si>
  <si>
    <t xml:space="preserve">Challenges: LISTEN</t>
  </si>
  <si>
    <t xml:space="preserve">Counts the correct option of each LISTEN challenge.</t>
  </si>
  <si>
    <t xml:space="preserve">Challenges: total</t>
  </si>
  <si>
    <t xml:space="preserve">Rows flagged CHECK</t>
  </si>
  <si>
    <t xml:space="preserve">Must be 0: every challenge needs 2 to 4 options and exactly one correct.</t>
  </si>
  <si>
    <t xml:space="preserve">Rows with status draft</t>
  </si>
  <si>
    <t xml:space="preserve">Not imported to production.</t>
  </si>
  <si>
    <t xml:space="preserve">Rows with status reviewed</t>
  </si>
  <si>
    <t xml:space="preserve">Checked by a native speaker; eligible for production.</t>
  </si>
  <si>
    <t xml:space="preserve">Rows with status rejected</t>
  </si>
  <si>
    <t xml:space="preserve">Ignored by the import.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</si>
</sst>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Noto Sans CJK SC"/>
      <family val="2"/>
    </font>
    <font>
      <b val="true"/>
      <sz val="10"/>
      <color rgb="FF000000"/>
      <name val="Arial"/>
      <family val="0"/>
      <charset val="1"/>
    </font>
    <font>
      <sz val="10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D9D9"/>
        <bgColor rgb="FFE2F0D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7F7F7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>
          <bgColor rgb="FFE2F0D9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3" min="3" style="0" width="80"/>
    <col collapsed="false" customWidth="true" hidden="false" outlineLevel="0" max="4" min="4" style="0" width="44"/>
  </cols>
  <sheetData>
    <row r="1" customFormat="false" ht="17.35" hidden="false" customHeight="true" outlineLevel="0" collapsed="false">
      <c r="A1" s="1" t="s">
        <v>0</v>
      </c>
      <c r="B1" s="1"/>
      <c r="C1" s="1"/>
      <c r="D1" s="1"/>
    </row>
    <row r="2" customFormat="false" ht="27.75" hidden="false" customHeight="true" outlineLevel="0" collapsed="false">
      <c r="A2" s="2" t="s">
        <v>1</v>
      </c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true" outlineLevel="0" collapsed="false">
      <c r="A4" s="3" t="s">
        <v>2</v>
      </c>
      <c r="B4" s="3"/>
      <c r="C4" s="3"/>
      <c r="D4" s="3"/>
    </row>
    <row r="5" customFormat="false" ht="27.75" hidden="false" customHeight="true" outlineLevel="0" collapsed="false">
      <c r="A5" s="2" t="s">
        <v>3</v>
      </c>
      <c r="B5" s="2"/>
      <c r="C5" s="2"/>
      <c r="D5" s="2"/>
    </row>
    <row r="6" customFormat="false" ht="27.75" hidden="false" customHeight="true" outlineLevel="0" collapsed="false">
      <c r="A6" s="2" t="s">
        <v>4</v>
      </c>
      <c r="B6" s="2"/>
      <c r="C6" s="2"/>
      <c r="D6" s="2"/>
    </row>
    <row r="7" customFormat="false" ht="15" hidden="false" customHeight="true" outlineLevel="0" collapsed="false">
      <c r="A7" s="2" t="s">
        <v>5</v>
      </c>
      <c r="B7" s="2"/>
      <c r="C7" s="2"/>
      <c r="D7" s="2"/>
    </row>
    <row r="8" customFormat="false" ht="15" hidden="false" customHeight="false" outlineLevel="0" collapsed="false">
      <c r="A8" s="2"/>
      <c r="B8" s="2"/>
      <c r="C8" s="2"/>
      <c r="D8" s="2"/>
    </row>
    <row r="9" customFormat="false" ht="15" hidden="false" customHeight="true" outlineLevel="0" collapsed="false">
      <c r="A9" s="3" t="s">
        <v>6</v>
      </c>
      <c r="B9" s="3"/>
      <c r="C9" s="3"/>
      <c r="D9" s="3"/>
    </row>
    <row r="10" customFormat="false" ht="27.75" hidden="false" customHeight="true" outlineLevel="0" collapsed="false">
      <c r="A10" s="2" t="s">
        <v>7</v>
      </c>
      <c r="B10" s="2"/>
      <c r="C10" s="2"/>
      <c r="D10" s="2"/>
    </row>
    <row r="11" customFormat="false" ht="15" hidden="false" customHeight="true" outlineLevel="0" collapsed="false">
      <c r="A11" s="2" t="s">
        <v>8</v>
      </c>
      <c r="B11" s="2"/>
      <c r="C11" s="2"/>
      <c r="D11" s="2"/>
    </row>
    <row r="12" customFormat="false" ht="27.75" hidden="false" customHeight="true" outlineLevel="0" collapsed="false">
      <c r="A12" s="2" t="s">
        <v>9</v>
      </c>
      <c r="B12" s="2"/>
      <c r="C12" s="2"/>
      <c r="D12" s="2"/>
    </row>
    <row r="13" customFormat="false" ht="15" hidden="false" customHeight="false" outlineLevel="0" collapsed="false">
      <c r="A13" s="2"/>
      <c r="B13" s="2"/>
      <c r="C13" s="2"/>
      <c r="D13" s="2"/>
    </row>
    <row r="14" customFormat="false" ht="15" hidden="false" customHeight="true" outlineLevel="0" collapsed="false">
      <c r="A14" s="3" t="s">
        <v>10</v>
      </c>
      <c r="B14" s="3"/>
      <c r="C14" s="3"/>
      <c r="D14" s="3"/>
    </row>
    <row r="15" customFormat="false" ht="15" hidden="false" customHeight="true" outlineLevel="0" collapsed="false">
      <c r="A15" s="2" t="s">
        <v>11</v>
      </c>
      <c r="B15" s="2"/>
      <c r="C15" s="2"/>
      <c r="D15" s="2"/>
    </row>
    <row r="16" customFormat="false" ht="27.75" hidden="false" customHeight="true" outlineLevel="0" collapsed="false">
      <c r="A16" s="2" t="s">
        <v>12</v>
      </c>
      <c r="B16" s="2"/>
      <c r="C16" s="2"/>
      <c r="D16" s="2"/>
    </row>
    <row r="17" customFormat="false" ht="15" hidden="false" customHeight="true" outlineLevel="0" collapsed="false">
      <c r="A17" s="2" t="s">
        <v>13</v>
      </c>
      <c r="B17" s="2"/>
      <c r="C17" s="2"/>
      <c r="D17" s="2"/>
    </row>
    <row r="18" customFormat="false" ht="27.75" hidden="false" customHeight="true" outlineLevel="0" collapsed="false">
      <c r="A18" s="2" t="s">
        <v>14</v>
      </c>
      <c r="B18" s="2"/>
      <c r="C18" s="2"/>
      <c r="D18" s="2"/>
    </row>
    <row r="19" customFormat="false" ht="15" hidden="false" customHeight="false" outlineLevel="0" collapsed="false">
      <c r="A19" s="2"/>
      <c r="B19" s="2"/>
      <c r="C19" s="2"/>
      <c r="D19" s="2"/>
    </row>
    <row r="20" customFormat="false" ht="15" hidden="false" customHeight="true" outlineLevel="0" collapsed="false">
      <c r="A20" s="3" t="s">
        <v>15</v>
      </c>
      <c r="B20" s="3"/>
      <c r="C20" s="3"/>
      <c r="D20" s="3"/>
    </row>
    <row r="21" customFormat="false" ht="27.75" hidden="false" customHeight="true" outlineLevel="0" collapsed="false">
      <c r="A21" s="2" t="s">
        <v>16</v>
      </c>
      <c r="B21" s="2"/>
      <c r="C21" s="2"/>
      <c r="D21" s="2"/>
    </row>
    <row r="22" customFormat="false" ht="15" hidden="false" customHeight="false" outlineLevel="0" collapsed="false">
      <c r="A22" s="2"/>
      <c r="B22" s="2"/>
      <c r="C22" s="2"/>
      <c r="D22" s="2"/>
    </row>
    <row r="23" customFormat="false" ht="15" hidden="false" customHeight="true" outlineLevel="0" collapsed="false">
      <c r="A23" s="3" t="s">
        <v>17</v>
      </c>
      <c r="B23" s="3"/>
      <c r="C23" s="3"/>
      <c r="D23" s="3"/>
    </row>
    <row r="24" customFormat="false" ht="27.75" hidden="false" customHeight="true" outlineLevel="0" collapsed="false">
      <c r="A24" s="2" t="s">
        <v>18</v>
      </c>
      <c r="B24" s="2"/>
      <c r="C24" s="2"/>
      <c r="D24" s="2"/>
    </row>
    <row r="25" customFormat="false" ht="15" hidden="false" customHeight="false" outlineLevel="0" collapsed="false">
      <c r="A25" s="2"/>
      <c r="B25" s="2"/>
      <c r="C25" s="2"/>
      <c r="D25" s="2"/>
    </row>
    <row r="26" customFormat="false" ht="15" hidden="false" customHeight="true" outlineLevel="0" collapsed="false">
      <c r="A26" s="3" t="s">
        <v>19</v>
      </c>
      <c r="B26" s="3"/>
      <c r="C26" s="3"/>
      <c r="D26" s="3"/>
    </row>
    <row r="27" customFormat="false" ht="27.75" hidden="false" customHeight="true" outlineLevel="0" collapsed="false">
      <c r="A27" s="2" t="s">
        <v>20</v>
      </c>
      <c r="B27" s="2"/>
      <c r="C27" s="2"/>
      <c r="D27" s="2"/>
    </row>
    <row r="28" customFormat="false" ht="27.75" hidden="false" customHeight="true" outlineLevel="0" collapsed="false">
      <c r="A28" s="2" t="s">
        <v>21</v>
      </c>
      <c r="B28" s="2"/>
      <c r="C28" s="2"/>
      <c r="D28" s="2"/>
    </row>
    <row r="29" customFormat="false" ht="15" hidden="false" customHeight="true" outlineLevel="0" collapsed="false">
      <c r="A29" s="2" t="s">
        <v>22</v>
      </c>
      <c r="B29" s="2"/>
      <c r="C29" s="2"/>
      <c r="D29" s="2"/>
    </row>
    <row r="30" customFormat="false" ht="15" hidden="false" customHeight="false" outlineLevel="0" collapsed="false">
      <c r="A30" s="2"/>
      <c r="B30" s="2"/>
      <c r="C30" s="2"/>
      <c r="D30" s="2"/>
    </row>
    <row r="31" customFormat="false" ht="15" hidden="false" customHeight="true" outlineLevel="0" collapsed="false">
      <c r="A31" s="3" t="s">
        <v>23</v>
      </c>
      <c r="B31" s="3"/>
      <c r="C31" s="3"/>
      <c r="D31" s="3"/>
    </row>
    <row r="32" customFormat="false" ht="15" hidden="false" customHeight="false" outlineLevel="0" collapsed="false">
      <c r="A32" s="4" t="s">
        <v>24</v>
      </c>
      <c r="B32" s="4" t="s">
        <v>25</v>
      </c>
      <c r="C32" s="4" t="s">
        <v>26</v>
      </c>
      <c r="D32" s="4" t="s">
        <v>27</v>
      </c>
    </row>
    <row r="33" customFormat="false" ht="27.75" hidden="false" customHeight="true" outlineLevel="0" collapsed="false">
      <c r="A33" s="5" t="s">
        <v>28</v>
      </c>
      <c r="B33" s="5" t="s">
        <v>29</v>
      </c>
      <c r="C33" s="5" t="s">
        <v>30</v>
      </c>
      <c r="D33" s="5" t="s">
        <v>31</v>
      </c>
    </row>
    <row r="34" customFormat="false" ht="27.75" hidden="false" customHeight="true" outlineLevel="0" collapsed="false">
      <c r="A34" s="5" t="s">
        <v>32</v>
      </c>
      <c r="B34" s="5" t="s">
        <v>29</v>
      </c>
      <c r="C34" s="5" t="s">
        <v>33</v>
      </c>
      <c r="D34" s="5" t="s">
        <v>34</v>
      </c>
    </row>
    <row r="35" customFormat="false" ht="27.75" hidden="false" customHeight="true" outlineLevel="0" collapsed="false">
      <c r="A35" s="5" t="s">
        <v>35</v>
      </c>
      <c r="B35" s="5" t="s">
        <v>29</v>
      </c>
      <c r="C35" s="5" t="s">
        <v>36</v>
      </c>
      <c r="D35" s="5" t="s">
        <v>37</v>
      </c>
    </row>
    <row r="36" customFormat="false" ht="15" hidden="false" customHeight="true" outlineLevel="0" collapsed="false">
      <c r="A36" s="5" t="s">
        <v>38</v>
      </c>
      <c r="B36" s="5" t="s">
        <v>29</v>
      </c>
      <c r="C36" s="5" t="s">
        <v>39</v>
      </c>
      <c r="D36" s="5" t="s">
        <v>40</v>
      </c>
    </row>
    <row r="37" customFormat="false" ht="15" hidden="false" customHeight="true" outlineLevel="0" collapsed="false">
      <c r="A37" s="5" t="s">
        <v>41</v>
      </c>
      <c r="B37" s="5" t="s">
        <v>29</v>
      </c>
      <c r="C37" s="5" t="s">
        <v>42</v>
      </c>
      <c r="D37" s="5" t="n">
        <v>1</v>
      </c>
    </row>
    <row r="38" customFormat="false" ht="15" hidden="false" customHeight="true" outlineLevel="0" collapsed="false">
      <c r="A38" s="5" t="s">
        <v>43</v>
      </c>
      <c r="B38" s="5" t="s">
        <v>29</v>
      </c>
      <c r="C38" s="5" t="s">
        <v>44</v>
      </c>
      <c r="D38" s="5" t="s">
        <v>45</v>
      </c>
    </row>
    <row r="39" customFormat="false" ht="27.75" hidden="false" customHeight="true" outlineLevel="0" collapsed="false">
      <c r="A39" s="5" t="s">
        <v>46</v>
      </c>
      <c r="B39" s="5" t="s">
        <v>29</v>
      </c>
      <c r="C39" s="5" t="s">
        <v>47</v>
      </c>
      <c r="D39" s="5" t="s">
        <v>48</v>
      </c>
    </row>
    <row r="40" customFormat="false" ht="15" hidden="false" customHeight="true" outlineLevel="0" collapsed="false">
      <c r="A40" s="5" t="s">
        <v>49</v>
      </c>
      <c r="B40" s="5" t="s">
        <v>29</v>
      </c>
      <c r="C40" s="5" t="s">
        <v>50</v>
      </c>
      <c r="D40" s="6" t="s">
        <v>51</v>
      </c>
    </row>
    <row r="41" customFormat="false" ht="15" hidden="false" customHeight="true" outlineLevel="0" collapsed="false">
      <c r="A41" s="5" t="s">
        <v>52</v>
      </c>
      <c r="B41" s="5" t="s">
        <v>29</v>
      </c>
      <c r="C41" s="5" t="s">
        <v>53</v>
      </c>
      <c r="D41" s="7" t="b">
        <f aca="false">FALSE()</f>
        <v>0</v>
      </c>
    </row>
    <row r="42" customFormat="false" ht="27.75" hidden="false" customHeight="true" outlineLevel="0" collapsed="false">
      <c r="A42" s="5" t="s">
        <v>54</v>
      </c>
      <c r="B42" s="5" t="s">
        <v>55</v>
      </c>
      <c r="C42" s="5" t="s">
        <v>56</v>
      </c>
      <c r="D42" s="5" t="s">
        <v>57</v>
      </c>
    </row>
    <row r="43" customFormat="false" ht="27.75" hidden="false" customHeight="true" outlineLevel="0" collapsed="false">
      <c r="A43" s="5" t="s">
        <v>58</v>
      </c>
      <c r="B43" s="5" t="s">
        <v>55</v>
      </c>
      <c r="C43" s="5" t="s">
        <v>59</v>
      </c>
      <c r="D43" s="5" t="s">
        <v>60</v>
      </c>
    </row>
    <row r="44" customFormat="false" ht="15" hidden="false" customHeight="true" outlineLevel="0" collapsed="false">
      <c r="A44" s="5" t="s">
        <v>61</v>
      </c>
      <c r="B44" s="5" t="s">
        <v>55</v>
      </c>
      <c r="C44" s="5" t="s">
        <v>62</v>
      </c>
      <c r="D44" s="5" t="s">
        <v>57</v>
      </c>
    </row>
    <row r="45" customFormat="false" ht="15" hidden="false" customHeight="true" outlineLevel="0" collapsed="false">
      <c r="A45" s="5" t="s">
        <v>63</v>
      </c>
      <c r="B45" s="5" t="s">
        <v>29</v>
      </c>
      <c r="C45" s="5" t="s">
        <v>64</v>
      </c>
      <c r="D45" s="5" t="s">
        <v>65</v>
      </c>
    </row>
    <row r="46" customFormat="false" ht="15" hidden="false" customHeight="true" outlineLevel="0" collapsed="false">
      <c r="A46" s="5" t="s">
        <v>66</v>
      </c>
      <c r="B46" s="5" t="s">
        <v>55</v>
      </c>
      <c r="C46" s="5" t="s">
        <v>67</v>
      </c>
      <c r="D46" s="5" t="s">
        <v>57</v>
      </c>
    </row>
  </sheetData>
  <mergeCells count="3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36"/>
    <col collapsed="false" customWidth="true" hidden="false" outlineLevel="0" max="6" min="6" style="0" width="12"/>
    <col collapsed="false" customWidth="true" hidden="false" outlineLevel="0" max="7" min="7" style="0" width="24"/>
    <col collapsed="false" customWidth="true" hidden="false" outlineLevel="0" max="8" min="8" style="0" width="15"/>
    <col collapsed="false" customWidth="true" hidden="false" outlineLevel="0" max="9" min="9" style="0" width="9"/>
    <col collapsed="false" customWidth="true" hidden="false" outlineLevel="0" max="10" min="10" style="0" width="46"/>
    <col collapsed="false" customWidth="true" hidden="false" outlineLevel="0" max="11" min="11" style="0" width="34"/>
    <col collapsed="false" customWidth="true" hidden="false" outlineLevel="0" max="12" min="12" style="0" width="9"/>
    <col collapsed="false" customWidth="true" hidden="false" outlineLevel="0" max="13" min="13" style="0" width="13"/>
    <col collapsed="false" customWidth="true" hidden="false" outlineLevel="0" max="14" min="14" style="0" width="24"/>
    <col collapsed="false" customWidth="true" hidden="false" outlineLevel="0" max="15" min="15" style="0" width="14"/>
    <col collapsed="false" customWidth="true" hidden="false" outlineLevel="0" max="16" min="16" style="0" width="10"/>
    <col collapsed="false" customWidth="true" hidden="false" outlineLevel="0" max="17" min="17" style="0" width="60"/>
    <col collapsed="false" customWidth="true" hidden="false" outlineLevel="0" max="19" min="18" style="0" width="13"/>
    <col collapsed="false" customWidth="true" hidden="false" outlineLevel="0" max="20" min="20" style="0" width="11"/>
  </cols>
  <sheetData>
    <row r="1" customFormat="false" ht="31.5" hidden="false" customHeight="true" outlineLevel="0" collapsed="false">
      <c r="A1" s="8" t="s">
        <v>28</v>
      </c>
      <c r="B1" s="8" t="s">
        <v>32</v>
      </c>
      <c r="C1" s="8" t="s">
        <v>68</v>
      </c>
      <c r="D1" s="8" t="s">
        <v>69</v>
      </c>
      <c r="E1" s="8" t="s">
        <v>70</v>
      </c>
      <c r="F1" s="8" t="s">
        <v>71</v>
      </c>
      <c r="G1" s="8" t="s">
        <v>72</v>
      </c>
      <c r="H1" s="8" t="s">
        <v>41</v>
      </c>
      <c r="I1" s="8" t="s">
        <v>43</v>
      </c>
      <c r="J1" s="8" t="s">
        <v>46</v>
      </c>
      <c r="K1" s="8" t="s">
        <v>49</v>
      </c>
      <c r="L1" s="8" t="s">
        <v>52</v>
      </c>
      <c r="M1" s="8" t="s">
        <v>54</v>
      </c>
      <c r="N1" s="8" t="s">
        <v>58</v>
      </c>
      <c r="O1" s="8" t="s">
        <v>61</v>
      </c>
      <c r="P1" s="8" t="s">
        <v>63</v>
      </c>
      <c r="Q1" s="8" t="s">
        <v>66</v>
      </c>
      <c r="R1" s="9" t="s">
        <v>73</v>
      </c>
      <c r="S1" s="9" t="s">
        <v>74</v>
      </c>
      <c r="T1" s="9" t="s">
        <v>75</v>
      </c>
    </row>
    <row r="2" customFormat="false" ht="15" hidden="false" customHeight="false" outlineLevel="0" collapsed="false">
      <c r="A2" s="10" t="s">
        <v>31</v>
      </c>
      <c r="B2" s="10" t="s">
        <v>34</v>
      </c>
      <c r="C2" s="10" t="n">
        <v>1</v>
      </c>
      <c r="D2" s="10" t="s">
        <v>76</v>
      </c>
      <c r="E2" s="11" t="s">
        <v>77</v>
      </c>
      <c r="F2" s="10" t="n">
        <v>1</v>
      </c>
      <c r="G2" s="10" t="s">
        <v>78</v>
      </c>
      <c r="H2" s="10" t="n">
        <v>1</v>
      </c>
      <c r="I2" s="10" t="s">
        <v>45</v>
      </c>
      <c r="J2" s="11" t="s">
        <v>48</v>
      </c>
      <c r="K2" s="12" t="s">
        <v>51</v>
      </c>
      <c r="L2" s="13" t="b">
        <f aca="false">FALSE()</f>
        <v>0</v>
      </c>
      <c r="M2" s="10"/>
      <c r="N2" s="14" t="s">
        <v>51</v>
      </c>
      <c r="O2" s="10"/>
      <c r="P2" s="10" t="s">
        <v>65</v>
      </c>
      <c r="Q2" s="11"/>
      <c r="R2" s="15" t="n">
        <f aca="false">COUNTIF($A$2:$A$2000,A2)</f>
        <v>3</v>
      </c>
      <c r="S2" s="15" t="n">
        <f aca="false">COUNTIFS($A$2:$A$2000,A2,$L$2:$L$2000,TRUE())</f>
        <v>1</v>
      </c>
      <c r="T2" s="16" t="str">
        <f aca="false">IF(AND(R2&gt;=2,R2&lt;=4,S2=1),"OK","CHECK")</f>
        <v>OK</v>
      </c>
    </row>
    <row r="3" customFormat="false" ht="15" hidden="false" customHeight="false" outlineLevel="0" collapsed="false">
      <c r="A3" s="17" t="s">
        <v>31</v>
      </c>
      <c r="B3" s="17" t="s">
        <v>34</v>
      </c>
      <c r="C3" s="17" t="n">
        <v>1</v>
      </c>
      <c r="D3" s="17" t="s">
        <v>76</v>
      </c>
      <c r="E3" s="5" t="s">
        <v>77</v>
      </c>
      <c r="F3" s="17" t="n">
        <v>1</v>
      </c>
      <c r="G3" s="17" t="s">
        <v>78</v>
      </c>
      <c r="H3" s="17" t="n">
        <v>1</v>
      </c>
      <c r="I3" s="17" t="s">
        <v>45</v>
      </c>
      <c r="J3" s="5" t="s">
        <v>48</v>
      </c>
      <c r="K3" s="6" t="s">
        <v>79</v>
      </c>
      <c r="L3" s="18" t="b">
        <f aca="false">FALSE()</f>
        <v>0</v>
      </c>
      <c r="M3" s="17"/>
      <c r="N3" s="19" t="s">
        <v>79</v>
      </c>
      <c r="O3" s="17"/>
      <c r="P3" s="17" t="s">
        <v>65</v>
      </c>
      <c r="Q3" s="5"/>
      <c r="R3" s="20" t="n">
        <f aca="false">COUNTIF($A$2:$A$2000,A3)</f>
        <v>3</v>
      </c>
      <c r="S3" s="20" t="n">
        <f aca="false">COUNTIFS($A$2:$A$2000,A3,$L$2:$L$2000,TRUE())</f>
        <v>1</v>
      </c>
      <c r="T3" s="21" t="str">
        <f aca="false">IF(AND(R3&gt;=2,R3&lt;=4,S3=1),"OK","CHECK")</f>
        <v>OK</v>
      </c>
    </row>
    <row r="4" customFormat="false" ht="15" hidden="false" customHeight="false" outlineLevel="0" collapsed="false">
      <c r="A4" s="17" t="s">
        <v>31</v>
      </c>
      <c r="B4" s="17" t="s">
        <v>34</v>
      </c>
      <c r="C4" s="17" t="n">
        <v>1</v>
      </c>
      <c r="D4" s="17" t="s">
        <v>76</v>
      </c>
      <c r="E4" s="5" t="s">
        <v>77</v>
      </c>
      <c r="F4" s="17" t="n">
        <v>1</v>
      </c>
      <c r="G4" s="17" t="s">
        <v>78</v>
      </c>
      <c r="H4" s="17" t="n">
        <v>1</v>
      </c>
      <c r="I4" s="17" t="s">
        <v>45</v>
      </c>
      <c r="J4" s="5" t="s">
        <v>48</v>
      </c>
      <c r="K4" s="6" t="s">
        <v>80</v>
      </c>
      <c r="L4" s="18" t="b">
        <f aca="false">TRUE()</f>
        <v>1</v>
      </c>
      <c r="M4" s="17"/>
      <c r="N4" s="19" t="s">
        <v>80</v>
      </c>
      <c r="O4" s="17"/>
      <c r="P4" s="17" t="s">
        <v>65</v>
      </c>
      <c r="Q4" s="5"/>
      <c r="R4" s="20" t="n">
        <f aca="false">COUNTIF($A$2:$A$2000,A4)</f>
        <v>3</v>
      </c>
      <c r="S4" s="20" t="n">
        <f aca="false">COUNTIFS($A$2:$A$2000,A4,$L$2:$L$2000,TRUE())</f>
        <v>1</v>
      </c>
      <c r="T4" s="21" t="str">
        <f aca="false">IF(AND(R4&gt;=2,R4&lt;=4,S4=1),"OK","CHECK")</f>
        <v>OK</v>
      </c>
    </row>
    <row r="5" customFormat="false" ht="15" hidden="false" customHeight="false" outlineLevel="0" collapsed="false">
      <c r="A5" s="10" t="s">
        <v>81</v>
      </c>
      <c r="B5" s="10" t="s">
        <v>34</v>
      </c>
      <c r="C5" s="10" t="n">
        <v>1</v>
      </c>
      <c r="D5" s="10" t="s">
        <v>76</v>
      </c>
      <c r="E5" s="11" t="s">
        <v>77</v>
      </c>
      <c r="F5" s="10" t="n">
        <v>1</v>
      </c>
      <c r="G5" s="10" t="s">
        <v>78</v>
      </c>
      <c r="H5" s="10" t="n">
        <v>2</v>
      </c>
      <c r="I5" s="10" t="s">
        <v>45</v>
      </c>
      <c r="J5" s="11" t="s">
        <v>82</v>
      </c>
      <c r="K5" s="12" t="s">
        <v>83</v>
      </c>
      <c r="L5" s="13" t="b">
        <f aca="false">FALSE()</f>
        <v>0</v>
      </c>
      <c r="M5" s="10"/>
      <c r="N5" s="14" t="s">
        <v>83</v>
      </c>
      <c r="O5" s="10"/>
      <c r="P5" s="10" t="s">
        <v>65</v>
      </c>
      <c r="Q5" s="11"/>
      <c r="R5" s="15" t="n">
        <f aca="false">COUNTIF($A$2:$A$2000,A5)</f>
        <v>3</v>
      </c>
      <c r="S5" s="15" t="n">
        <f aca="false">COUNTIFS($A$2:$A$2000,A5,$L$2:$L$2000,TRUE())</f>
        <v>1</v>
      </c>
      <c r="T5" s="16" t="str">
        <f aca="false">IF(AND(R5&gt;=2,R5&lt;=4,S5=1),"OK","CHECK")</f>
        <v>OK</v>
      </c>
    </row>
    <row r="6" customFormat="false" ht="15" hidden="false" customHeight="false" outlineLevel="0" collapsed="false">
      <c r="A6" s="17" t="s">
        <v>81</v>
      </c>
      <c r="B6" s="17" t="s">
        <v>34</v>
      </c>
      <c r="C6" s="17" t="n">
        <v>1</v>
      </c>
      <c r="D6" s="17" t="s">
        <v>76</v>
      </c>
      <c r="E6" s="5" t="s">
        <v>77</v>
      </c>
      <c r="F6" s="17" t="n">
        <v>1</v>
      </c>
      <c r="G6" s="17" t="s">
        <v>78</v>
      </c>
      <c r="H6" s="17" t="n">
        <v>2</v>
      </c>
      <c r="I6" s="17" t="s">
        <v>45</v>
      </c>
      <c r="J6" s="5" t="s">
        <v>82</v>
      </c>
      <c r="K6" s="6" t="s">
        <v>51</v>
      </c>
      <c r="L6" s="18" t="b">
        <f aca="false">TRUE()</f>
        <v>1</v>
      </c>
      <c r="M6" s="17"/>
      <c r="N6" s="19" t="s">
        <v>51</v>
      </c>
      <c r="O6" s="17"/>
      <c r="P6" s="17" t="s">
        <v>65</v>
      </c>
      <c r="Q6" s="5"/>
      <c r="R6" s="20" t="n">
        <f aca="false">COUNTIF($A$2:$A$2000,A6)</f>
        <v>3</v>
      </c>
      <c r="S6" s="20" t="n">
        <f aca="false">COUNTIFS($A$2:$A$2000,A6,$L$2:$L$2000,TRUE())</f>
        <v>1</v>
      </c>
      <c r="T6" s="21" t="str">
        <f aca="false">IF(AND(R6&gt;=2,R6&lt;=4,S6=1),"OK","CHECK")</f>
        <v>OK</v>
      </c>
    </row>
    <row r="7" customFormat="false" ht="15" hidden="false" customHeight="false" outlineLevel="0" collapsed="false">
      <c r="A7" s="17" t="s">
        <v>81</v>
      </c>
      <c r="B7" s="17" t="s">
        <v>34</v>
      </c>
      <c r="C7" s="17" t="n">
        <v>1</v>
      </c>
      <c r="D7" s="17" t="s">
        <v>76</v>
      </c>
      <c r="E7" s="5" t="s">
        <v>77</v>
      </c>
      <c r="F7" s="17" t="n">
        <v>1</v>
      </c>
      <c r="G7" s="17" t="s">
        <v>78</v>
      </c>
      <c r="H7" s="17" t="n">
        <v>2</v>
      </c>
      <c r="I7" s="17" t="s">
        <v>45</v>
      </c>
      <c r="J7" s="5" t="s">
        <v>82</v>
      </c>
      <c r="K7" s="6" t="s">
        <v>80</v>
      </c>
      <c r="L7" s="18" t="b">
        <f aca="false">FALSE()</f>
        <v>0</v>
      </c>
      <c r="M7" s="17"/>
      <c r="N7" s="19" t="s">
        <v>80</v>
      </c>
      <c r="O7" s="17"/>
      <c r="P7" s="17" t="s">
        <v>65</v>
      </c>
      <c r="Q7" s="5"/>
      <c r="R7" s="20" t="n">
        <f aca="false">COUNTIF($A$2:$A$2000,A7)</f>
        <v>3</v>
      </c>
      <c r="S7" s="20" t="n">
        <f aca="false">COUNTIFS($A$2:$A$2000,A7,$L$2:$L$2000,TRUE())</f>
        <v>1</v>
      </c>
      <c r="T7" s="21" t="str">
        <f aca="false">IF(AND(R7&gt;=2,R7&lt;=4,S7=1),"OK","CHECK")</f>
        <v>OK</v>
      </c>
    </row>
    <row r="8" customFormat="false" ht="15" hidden="false" customHeight="false" outlineLevel="0" collapsed="false">
      <c r="A8" s="10" t="s">
        <v>84</v>
      </c>
      <c r="B8" s="10" t="s">
        <v>34</v>
      </c>
      <c r="C8" s="10" t="n">
        <v>1</v>
      </c>
      <c r="D8" s="10" t="s">
        <v>76</v>
      </c>
      <c r="E8" s="11" t="s">
        <v>77</v>
      </c>
      <c r="F8" s="10" t="n">
        <v>1</v>
      </c>
      <c r="G8" s="10" t="s">
        <v>78</v>
      </c>
      <c r="H8" s="10" t="n">
        <v>3</v>
      </c>
      <c r="I8" s="10" t="s">
        <v>45</v>
      </c>
      <c r="J8" s="11" t="s">
        <v>85</v>
      </c>
      <c r="K8" s="12" t="s">
        <v>79</v>
      </c>
      <c r="L8" s="13" t="b">
        <f aca="false">TRUE()</f>
        <v>1</v>
      </c>
      <c r="M8" s="10"/>
      <c r="N8" s="14" t="s">
        <v>79</v>
      </c>
      <c r="O8" s="10"/>
      <c r="P8" s="10" t="s">
        <v>65</v>
      </c>
      <c r="Q8" s="11"/>
      <c r="R8" s="15" t="n">
        <f aca="false">COUNTIF($A$2:$A$2000,A8)</f>
        <v>3</v>
      </c>
      <c r="S8" s="15" t="n">
        <f aca="false">COUNTIFS($A$2:$A$2000,A8,$L$2:$L$2000,TRUE())</f>
        <v>1</v>
      </c>
      <c r="T8" s="16" t="str">
        <f aca="false">IF(AND(R8&gt;=2,R8&lt;=4,S8=1),"OK","CHECK")</f>
        <v>OK</v>
      </c>
    </row>
    <row r="9" customFormat="false" ht="15" hidden="false" customHeight="false" outlineLevel="0" collapsed="false">
      <c r="A9" s="17" t="s">
        <v>84</v>
      </c>
      <c r="B9" s="17" t="s">
        <v>34</v>
      </c>
      <c r="C9" s="17" t="n">
        <v>1</v>
      </c>
      <c r="D9" s="17" t="s">
        <v>76</v>
      </c>
      <c r="E9" s="5" t="s">
        <v>77</v>
      </c>
      <c r="F9" s="17" t="n">
        <v>1</v>
      </c>
      <c r="G9" s="17" t="s">
        <v>78</v>
      </c>
      <c r="H9" s="17" t="n">
        <v>3</v>
      </c>
      <c r="I9" s="17" t="s">
        <v>45</v>
      </c>
      <c r="J9" s="5" t="s">
        <v>85</v>
      </c>
      <c r="K9" s="6" t="s">
        <v>86</v>
      </c>
      <c r="L9" s="18" t="b">
        <f aca="false">FALSE()</f>
        <v>0</v>
      </c>
      <c r="M9" s="17"/>
      <c r="N9" s="19" t="s">
        <v>86</v>
      </c>
      <c r="O9" s="17"/>
      <c r="P9" s="17" t="s">
        <v>65</v>
      </c>
      <c r="Q9" s="5"/>
      <c r="R9" s="20" t="n">
        <f aca="false">COUNTIF($A$2:$A$2000,A9)</f>
        <v>3</v>
      </c>
      <c r="S9" s="20" t="n">
        <f aca="false">COUNTIFS($A$2:$A$2000,A9,$L$2:$L$2000,TRUE())</f>
        <v>1</v>
      </c>
      <c r="T9" s="21" t="str">
        <f aca="false">IF(AND(R9&gt;=2,R9&lt;=4,S9=1),"OK","CHECK")</f>
        <v>OK</v>
      </c>
    </row>
    <row r="10" customFormat="false" ht="15" hidden="false" customHeight="false" outlineLevel="0" collapsed="false">
      <c r="A10" s="17" t="s">
        <v>84</v>
      </c>
      <c r="B10" s="17" t="s">
        <v>34</v>
      </c>
      <c r="C10" s="17" t="n">
        <v>1</v>
      </c>
      <c r="D10" s="17" t="s">
        <v>76</v>
      </c>
      <c r="E10" s="5" t="s">
        <v>77</v>
      </c>
      <c r="F10" s="17" t="n">
        <v>1</v>
      </c>
      <c r="G10" s="17" t="s">
        <v>78</v>
      </c>
      <c r="H10" s="17" t="n">
        <v>3</v>
      </c>
      <c r="I10" s="17" t="s">
        <v>45</v>
      </c>
      <c r="J10" s="5" t="s">
        <v>85</v>
      </c>
      <c r="K10" s="6" t="s">
        <v>51</v>
      </c>
      <c r="L10" s="18" t="b">
        <f aca="false">FALSE()</f>
        <v>0</v>
      </c>
      <c r="M10" s="17"/>
      <c r="N10" s="19" t="s">
        <v>51</v>
      </c>
      <c r="O10" s="17"/>
      <c r="P10" s="17" t="s">
        <v>65</v>
      </c>
      <c r="Q10" s="5"/>
      <c r="R10" s="20" t="n">
        <f aca="false">COUNTIF($A$2:$A$2000,A10)</f>
        <v>3</v>
      </c>
      <c r="S10" s="20" t="n">
        <f aca="false">COUNTIFS($A$2:$A$2000,A10,$L$2:$L$2000,TRUE())</f>
        <v>1</v>
      </c>
      <c r="T10" s="21" t="str">
        <f aca="false">IF(AND(R10&gt;=2,R10&lt;=4,S10=1),"OK","CHECK")</f>
        <v>OK</v>
      </c>
    </row>
    <row r="11" customFormat="false" ht="15" hidden="false" customHeight="false" outlineLevel="0" collapsed="false">
      <c r="A11" s="10" t="s">
        <v>87</v>
      </c>
      <c r="B11" s="10" t="s">
        <v>34</v>
      </c>
      <c r="C11" s="10" t="n">
        <v>1</v>
      </c>
      <c r="D11" s="10" t="s">
        <v>76</v>
      </c>
      <c r="E11" s="11" t="s">
        <v>77</v>
      </c>
      <c r="F11" s="10" t="n">
        <v>1</v>
      </c>
      <c r="G11" s="10" t="s">
        <v>78</v>
      </c>
      <c r="H11" s="10" t="n">
        <v>4</v>
      </c>
      <c r="I11" s="10" t="s">
        <v>45</v>
      </c>
      <c r="J11" s="11" t="s">
        <v>88</v>
      </c>
      <c r="K11" s="12" t="s">
        <v>80</v>
      </c>
      <c r="L11" s="13" t="b">
        <f aca="false">FALSE()</f>
        <v>0</v>
      </c>
      <c r="M11" s="10"/>
      <c r="N11" s="14" t="s">
        <v>80</v>
      </c>
      <c r="O11" s="10"/>
      <c r="P11" s="10" t="s">
        <v>65</v>
      </c>
      <c r="Q11" s="11"/>
      <c r="R11" s="15" t="n">
        <f aca="false">COUNTIF($A$2:$A$2000,A11)</f>
        <v>3</v>
      </c>
      <c r="S11" s="15" t="n">
        <f aca="false">COUNTIFS($A$2:$A$2000,A11,$L$2:$L$2000,TRUE())</f>
        <v>1</v>
      </c>
      <c r="T11" s="16" t="str">
        <f aca="false">IF(AND(R11&gt;=2,R11&lt;=4,S11=1),"OK","CHECK")</f>
        <v>OK</v>
      </c>
    </row>
    <row r="12" customFormat="false" ht="15" hidden="false" customHeight="false" outlineLevel="0" collapsed="false">
      <c r="A12" s="17" t="s">
        <v>87</v>
      </c>
      <c r="B12" s="17" t="s">
        <v>34</v>
      </c>
      <c r="C12" s="17" t="n">
        <v>1</v>
      </c>
      <c r="D12" s="17" t="s">
        <v>76</v>
      </c>
      <c r="E12" s="5" t="s">
        <v>77</v>
      </c>
      <c r="F12" s="17" t="n">
        <v>1</v>
      </c>
      <c r="G12" s="17" t="s">
        <v>78</v>
      </c>
      <c r="H12" s="17" t="n">
        <v>4</v>
      </c>
      <c r="I12" s="17" t="s">
        <v>45</v>
      </c>
      <c r="J12" s="5" t="s">
        <v>88</v>
      </c>
      <c r="K12" s="6" t="s">
        <v>86</v>
      </c>
      <c r="L12" s="18" t="b">
        <f aca="false">FALSE()</f>
        <v>0</v>
      </c>
      <c r="M12" s="17"/>
      <c r="N12" s="19" t="s">
        <v>86</v>
      </c>
      <c r="O12" s="17"/>
      <c r="P12" s="17" t="s">
        <v>65</v>
      </c>
      <c r="Q12" s="5"/>
      <c r="R12" s="20" t="n">
        <f aca="false">COUNTIF($A$2:$A$2000,A12)</f>
        <v>3</v>
      </c>
      <c r="S12" s="20" t="n">
        <f aca="false">COUNTIFS($A$2:$A$2000,A12,$L$2:$L$2000,TRUE())</f>
        <v>1</v>
      </c>
      <c r="T12" s="21" t="str">
        <f aca="false">IF(AND(R12&gt;=2,R12&lt;=4,S12=1),"OK","CHECK")</f>
        <v>OK</v>
      </c>
    </row>
    <row r="13" customFormat="false" ht="15" hidden="false" customHeight="false" outlineLevel="0" collapsed="false">
      <c r="A13" s="17" t="s">
        <v>87</v>
      </c>
      <c r="B13" s="17" t="s">
        <v>34</v>
      </c>
      <c r="C13" s="17" t="n">
        <v>1</v>
      </c>
      <c r="D13" s="17" t="s">
        <v>76</v>
      </c>
      <c r="E13" s="5" t="s">
        <v>77</v>
      </c>
      <c r="F13" s="17" t="n">
        <v>1</v>
      </c>
      <c r="G13" s="17" t="s">
        <v>78</v>
      </c>
      <c r="H13" s="17" t="n">
        <v>4</v>
      </c>
      <c r="I13" s="17" t="s">
        <v>45</v>
      </c>
      <c r="J13" s="5" t="s">
        <v>88</v>
      </c>
      <c r="K13" s="6" t="s">
        <v>83</v>
      </c>
      <c r="L13" s="18" t="b">
        <f aca="false">TRUE()</f>
        <v>1</v>
      </c>
      <c r="M13" s="17"/>
      <c r="N13" s="19" t="s">
        <v>83</v>
      </c>
      <c r="O13" s="17"/>
      <c r="P13" s="17" t="s">
        <v>65</v>
      </c>
      <c r="Q13" s="5"/>
      <c r="R13" s="20" t="n">
        <f aca="false">COUNTIF($A$2:$A$2000,A13)</f>
        <v>3</v>
      </c>
      <c r="S13" s="20" t="n">
        <f aca="false">COUNTIFS($A$2:$A$2000,A13,$L$2:$L$2000,TRUE())</f>
        <v>1</v>
      </c>
      <c r="T13" s="21" t="str">
        <f aca="false">IF(AND(R13&gt;=2,R13&lt;=4,S13=1),"OK","CHECK")</f>
        <v>OK</v>
      </c>
    </row>
    <row r="14" customFormat="false" ht="15" hidden="false" customHeight="false" outlineLevel="0" collapsed="false">
      <c r="A14" s="10" t="s">
        <v>89</v>
      </c>
      <c r="B14" s="10" t="s">
        <v>34</v>
      </c>
      <c r="C14" s="10" t="n">
        <v>1</v>
      </c>
      <c r="D14" s="10" t="s">
        <v>76</v>
      </c>
      <c r="E14" s="11" t="s">
        <v>77</v>
      </c>
      <c r="F14" s="10" t="n">
        <v>1</v>
      </c>
      <c r="G14" s="10" t="s">
        <v>78</v>
      </c>
      <c r="H14" s="10" t="n">
        <v>5</v>
      </c>
      <c r="I14" s="10" t="s">
        <v>45</v>
      </c>
      <c r="J14" s="11" t="s">
        <v>90</v>
      </c>
      <c r="K14" s="12" t="s">
        <v>86</v>
      </c>
      <c r="L14" s="13" t="b">
        <f aca="false">TRUE()</f>
        <v>1</v>
      </c>
      <c r="M14" s="10"/>
      <c r="N14" s="14" t="s">
        <v>86</v>
      </c>
      <c r="O14" s="10"/>
      <c r="P14" s="10" t="s">
        <v>65</v>
      </c>
      <c r="Q14" s="11"/>
      <c r="R14" s="15" t="n">
        <f aca="false">COUNTIF($A$2:$A$2000,A14)</f>
        <v>3</v>
      </c>
      <c r="S14" s="15" t="n">
        <f aca="false">COUNTIFS($A$2:$A$2000,A14,$L$2:$L$2000,TRUE())</f>
        <v>1</v>
      </c>
      <c r="T14" s="16" t="str">
        <f aca="false">IF(AND(R14&gt;=2,R14&lt;=4,S14=1),"OK","CHECK")</f>
        <v>OK</v>
      </c>
    </row>
    <row r="15" customFormat="false" ht="15" hidden="false" customHeight="false" outlineLevel="0" collapsed="false">
      <c r="A15" s="17" t="s">
        <v>89</v>
      </c>
      <c r="B15" s="17" t="s">
        <v>34</v>
      </c>
      <c r="C15" s="17" t="n">
        <v>1</v>
      </c>
      <c r="D15" s="17" t="s">
        <v>76</v>
      </c>
      <c r="E15" s="5" t="s">
        <v>77</v>
      </c>
      <c r="F15" s="17" t="n">
        <v>1</v>
      </c>
      <c r="G15" s="17" t="s">
        <v>78</v>
      </c>
      <c r="H15" s="17" t="n">
        <v>5</v>
      </c>
      <c r="I15" s="17" t="s">
        <v>45</v>
      </c>
      <c r="J15" s="5" t="s">
        <v>90</v>
      </c>
      <c r="K15" s="6" t="s">
        <v>79</v>
      </c>
      <c r="L15" s="18" t="b">
        <f aca="false">FALSE()</f>
        <v>0</v>
      </c>
      <c r="M15" s="17"/>
      <c r="N15" s="19" t="s">
        <v>79</v>
      </c>
      <c r="O15" s="17"/>
      <c r="P15" s="17" t="s">
        <v>65</v>
      </c>
      <c r="Q15" s="5"/>
      <c r="R15" s="20" t="n">
        <f aca="false">COUNTIF($A$2:$A$2000,A15)</f>
        <v>3</v>
      </c>
      <c r="S15" s="20" t="n">
        <f aca="false">COUNTIFS($A$2:$A$2000,A15,$L$2:$L$2000,TRUE())</f>
        <v>1</v>
      </c>
      <c r="T15" s="21" t="str">
        <f aca="false">IF(AND(R15&gt;=2,R15&lt;=4,S15=1),"OK","CHECK")</f>
        <v>OK</v>
      </c>
    </row>
    <row r="16" customFormat="false" ht="15" hidden="false" customHeight="false" outlineLevel="0" collapsed="false">
      <c r="A16" s="17" t="s">
        <v>89</v>
      </c>
      <c r="B16" s="17" t="s">
        <v>34</v>
      </c>
      <c r="C16" s="17" t="n">
        <v>1</v>
      </c>
      <c r="D16" s="17" t="s">
        <v>76</v>
      </c>
      <c r="E16" s="5" t="s">
        <v>77</v>
      </c>
      <c r="F16" s="17" t="n">
        <v>1</v>
      </c>
      <c r="G16" s="17" t="s">
        <v>78</v>
      </c>
      <c r="H16" s="17" t="n">
        <v>5</v>
      </c>
      <c r="I16" s="17" t="s">
        <v>45</v>
      </c>
      <c r="J16" s="5" t="s">
        <v>90</v>
      </c>
      <c r="K16" s="6" t="s">
        <v>83</v>
      </c>
      <c r="L16" s="18" t="b">
        <f aca="false">FALSE()</f>
        <v>0</v>
      </c>
      <c r="M16" s="17"/>
      <c r="N16" s="19" t="s">
        <v>83</v>
      </c>
      <c r="O16" s="17"/>
      <c r="P16" s="17" t="s">
        <v>65</v>
      </c>
      <c r="Q16" s="5"/>
      <c r="R16" s="20" t="n">
        <f aca="false">COUNTIF($A$2:$A$2000,A16)</f>
        <v>3</v>
      </c>
      <c r="S16" s="20" t="n">
        <f aca="false">COUNTIFS($A$2:$A$2000,A16,$L$2:$L$2000,TRUE())</f>
        <v>1</v>
      </c>
      <c r="T16" s="21" t="str">
        <f aca="false">IF(AND(R16&gt;=2,R16&lt;=4,S16=1),"OK","CHECK")</f>
        <v>OK</v>
      </c>
    </row>
    <row r="17" customFormat="false" ht="15" hidden="false" customHeight="false" outlineLevel="0" collapsed="false">
      <c r="A17" s="10" t="s">
        <v>91</v>
      </c>
      <c r="B17" s="10" t="s">
        <v>34</v>
      </c>
      <c r="C17" s="10" t="n">
        <v>1</v>
      </c>
      <c r="D17" s="10" t="s">
        <v>76</v>
      </c>
      <c r="E17" s="11" t="s">
        <v>77</v>
      </c>
      <c r="F17" s="10" t="n">
        <v>1</v>
      </c>
      <c r="G17" s="10" t="s">
        <v>78</v>
      </c>
      <c r="H17" s="10" t="n">
        <v>6</v>
      </c>
      <c r="I17" s="10" t="s">
        <v>92</v>
      </c>
      <c r="J17" s="11" t="s">
        <v>93</v>
      </c>
      <c r="K17" s="12" t="s">
        <v>86</v>
      </c>
      <c r="L17" s="13" t="b">
        <f aca="false">FALSE()</f>
        <v>0</v>
      </c>
      <c r="M17" s="10"/>
      <c r="N17" s="14" t="s">
        <v>86</v>
      </c>
      <c r="O17" s="10"/>
      <c r="P17" s="10" t="s">
        <v>65</v>
      </c>
      <c r="Q17" s="11" t="s">
        <v>94</v>
      </c>
      <c r="R17" s="15" t="n">
        <f aca="false">COUNTIF($A$2:$A$2000,A17)</f>
        <v>3</v>
      </c>
      <c r="S17" s="15" t="n">
        <f aca="false">COUNTIFS($A$2:$A$2000,A17,$L$2:$L$2000,TRUE())</f>
        <v>1</v>
      </c>
      <c r="T17" s="16" t="str">
        <f aca="false">IF(AND(R17&gt;=2,R17&lt;=4,S17=1),"OK","CHECK")</f>
        <v>OK</v>
      </c>
    </row>
    <row r="18" customFormat="false" ht="15" hidden="false" customHeight="false" outlineLevel="0" collapsed="false">
      <c r="A18" s="17" t="s">
        <v>91</v>
      </c>
      <c r="B18" s="17" t="s">
        <v>34</v>
      </c>
      <c r="C18" s="17" t="n">
        <v>1</v>
      </c>
      <c r="D18" s="17" t="s">
        <v>76</v>
      </c>
      <c r="E18" s="5" t="s">
        <v>77</v>
      </c>
      <c r="F18" s="17" t="n">
        <v>1</v>
      </c>
      <c r="G18" s="17" t="s">
        <v>78</v>
      </c>
      <c r="H18" s="17" t="n">
        <v>6</v>
      </c>
      <c r="I18" s="17" t="s">
        <v>92</v>
      </c>
      <c r="J18" s="5" t="s">
        <v>93</v>
      </c>
      <c r="K18" s="6" t="s">
        <v>80</v>
      </c>
      <c r="L18" s="18" t="b">
        <f aca="false">TRUE()</f>
        <v>1</v>
      </c>
      <c r="M18" s="17"/>
      <c r="N18" s="19" t="s">
        <v>80</v>
      </c>
      <c r="O18" s="17"/>
      <c r="P18" s="17" t="s">
        <v>65</v>
      </c>
      <c r="Q18" s="5"/>
      <c r="R18" s="20" t="n">
        <f aca="false">COUNTIF($A$2:$A$2000,A18)</f>
        <v>3</v>
      </c>
      <c r="S18" s="20" t="n">
        <f aca="false">COUNTIFS($A$2:$A$2000,A18,$L$2:$L$2000,TRUE())</f>
        <v>1</v>
      </c>
      <c r="T18" s="21" t="str">
        <f aca="false">IF(AND(R18&gt;=2,R18&lt;=4,S18=1),"OK","CHECK")</f>
        <v>OK</v>
      </c>
    </row>
    <row r="19" customFormat="false" ht="15" hidden="false" customHeight="false" outlineLevel="0" collapsed="false">
      <c r="A19" s="17" t="s">
        <v>91</v>
      </c>
      <c r="B19" s="17" t="s">
        <v>34</v>
      </c>
      <c r="C19" s="17" t="n">
        <v>1</v>
      </c>
      <c r="D19" s="17" t="s">
        <v>76</v>
      </c>
      <c r="E19" s="5" t="s">
        <v>77</v>
      </c>
      <c r="F19" s="17" t="n">
        <v>1</v>
      </c>
      <c r="G19" s="17" t="s">
        <v>78</v>
      </c>
      <c r="H19" s="17" t="n">
        <v>6</v>
      </c>
      <c r="I19" s="17" t="s">
        <v>92</v>
      </c>
      <c r="J19" s="5" t="s">
        <v>93</v>
      </c>
      <c r="K19" s="6" t="s">
        <v>51</v>
      </c>
      <c r="L19" s="18" t="b">
        <f aca="false">FALSE()</f>
        <v>0</v>
      </c>
      <c r="M19" s="17"/>
      <c r="N19" s="19" t="s">
        <v>51</v>
      </c>
      <c r="O19" s="17"/>
      <c r="P19" s="17" t="s">
        <v>65</v>
      </c>
      <c r="Q19" s="5"/>
      <c r="R19" s="20" t="n">
        <f aca="false">COUNTIF($A$2:$A$2000,A19)</f>
        <v>3</v>
      </c>
      <c r="S19" s="20" t="n">
        <f aca="false">COUNTIFS($A$2:$A$2000,A19,$L$2:$L$2000,TRUE())</f>
        <v>1</v>
      </c>
      <c r="T19" s="21" t="str">
        <f aca="false">IF(AND(R19&gt;=2,R19&lt;=4,S19=1),"OK","CHECK")</f>
        <v>OK</v>
      </c>
    </row>
    <row r="20" customFormat="false" ht="15" hidden="false" customHeight="false" outlineLevel="0" collapsed="false">
      <c r="A20" s="10" t="s">
        <v>95</v>
      </c>
      <c r="B20" s="10" t="s">
        <v>34</v>
      </c>
      <c r="C20" s="10" t="n">
        <v>1</v>
      </c>
      <c r="D20" s="10" t="s">
        <v>76</v>
      </c>
      <c r="E20" s="11" t="s">
        <v>77</v>
      </c>
      <c r="F20" s="10" t="n">
        <v>1</v>
      </c>
      <c r="G20" s="10" t="s">
        <v>78</v>
      </c>
      <c r="H20" s="10" t="n">
        <v>7</v>
      </c>
      <c r="I20" s="10" t="s">
        <v>92</v>
      </c>
      <c r="J20" s="11" t="s">
        <v>93</v>
      </c>
      <c r="K20" s="12" t="s">
        <v>51</v>
      </c>
      <c r="L20" s="13" t="b">
        <f aca="false">FALSE()</f>
        <v>0</v>
      </c>
      <c r="M20" s="10"/>
      <c r="N20" s="14" t="s">
        <v>51</v>
      </c>
      <c r="O20" s="10"/>
      <c r="P20" s="10" t="s">
        <v>65</v>
      </c>
      <c r="Q20" s="11"/>
      <c r="R20" s="15" t="n">
        <f aca="false">COUNTIF($A$2:$A$2000,A20)</f>
        <v>3</v>
      </c>
      <c r="S20" s="15" t="n">
        <f aca="false">COUNTIFS($A$2:$A$2000,A20,$L$2:$L$2000,TRUE())</f>
        <v>1</v>
      </c>
      <c r="T20" s="16" t="str">
        <f aca="false">IF(AND(R20&gt;=2,R20&lt;=4,S20=1),"OK","CHECK")</f>
        <v>OK</v>
      </c>
    </row>
    <row r="21" customFormat="false" ht="15" hidden="false" customHeight="false" outlineLevel="0" collapsed="false">
      <c r="A21" s="17" t="s">
        <v>95</v>
      </c>
      <c r="B21" s="17" t="s">
        <v>34</v>
      </c>
      <c r="C21" s="17" t="n">
        <v>1</v>
      </c>
      <c r="D21" s="17" t="s">
        <v>76</v>
      </c>
      <c r="E21" s="5" t="s">
        <v>77</v>
      </c>
      <c r="F21" s="17" t="n">
        <v>1</v>
      </c>
      <c r="G21" s="17" t="s">
        <v>78</v>
      </c>
      <c r="H21" s="17" t="n">
        <v>7</v>
      </c>
      <c r="I21" s="17" t="s">
        <v>92</v>
      </c>
      <c r="J21" s="5" t="s">
        <v>93</v>
      </c>
      <c r="K21" s="6" t="s">
        <v>83</v>
      </c>
      <c r="L21" s="18" t="b">
        <f aca="false">TRUE()</f>
        <v>1</v>
      </c>
      <c r="M21" s="17"/>
      <c r="N21" s="19" t="s">
        <v>83</v>
      </c>
      <c r="O21" s="17"/>
      <c r="P21" s="17" t="s">
        <v>65</v>
      </c>
      <c r="Q21" s="5"/>
      <c r="R21" s="20" t="n">
        <f aca="false">COUNTIF($A$2:$A$2000,A21)</f>
        <v>3</v>
      </c>
      <c r="S21" s="20" t="n">
        <f aca="false">COUNTIFS($A$2:$A$2000,A21,$L$2:$L$2000,TRUE())</f>
        <v>1</v>
      </c>
      <c r="T21" s="21" t="str">
        <f aca="false">IF(AND(R21&gt;=2,R21&lt;=4,S21=1),"OK","CHECK")</f>
        <v>OK</v>
      </c>
    </row>
    <row r="22" customFormat="false" ht="15" hidden="false" customHeight="false" outlineLevel="0" collapsed="false">
      <c r="A22" s="17" t="s">
        <v>95</v>
      </c>
      <c r="B22" s="17" t="s">
        <v>34</v>
      </c>
      <c r="C22" s="17" t="n">
        <v>1</v>
      </c>
      <c r="D22" s="17" t="s">
        <v>76</v>
      </c>
      <c r="E22" s="5" t="s">
        <v>77</v>
      </c>
      <c r="F22" s="17" t="n">
        <v>1</v>
      </c>
      <c r="G22" s="17" t="s">
        <v>78</v>
      </c>
      <c r="H22" s="17" t="n">
        <v>7</v>
      </c>
      <c r="I22" s="17" t="s">
        <v>92</v>
      </c>
      <c r="J22" s="5" t="s">
        <v>93</v>
      </c>
      <c r="K22" s="6" t="s">
        <v>86</v>
      </c>
      <c r="L22" s="18" t="b">
        <f aca="false">FALSE()</f>
        <v>0</v>
      </c>
      <c r="M22" s="17"/>
      <c r="N22" s="19" t="s">
        <v>86</v>
      </c>
      <c r="O22" s="17"/>
      <c r="P22" s="17" t="s">
        <v>65</v>
      </c>
      <c r="Q22" s="5"/>
      <c r="R22" s="20" t="n">
        <f aca="false">COUNTIF($A$2:$A$2000,A22)</f>
        <v>3</v>
      </c>
      <c r="S22" s="20" t="n">
        <f aca="false">COUNTIFS($A$2:$A$2000,A22,$L$2:$L$2000,TRUE())</f>
        <v>1</v>
      </c>
      <c r="T22" s="21" t="str">
        <f aca="false">IF(AND(R22&gt;=2,R22&lt;=4,S22=1),"OK","CHECK")</f>
        <v>OK</v>
      </c>
    </row>
    <row r="23" customFormat="false" ht="15" hidden="false" customHeight="false" outlineLevel="0" collapsed="false">
      <c r="A23" s="10" t="s">
        <v>96</v>
      </c>
      <c r="B23" s="10" t="s">
        <v>34</v>
      </c>
      <c r="C23" s="10" t="n">
        <v>1</v>
      </c>
      <c r="D23" s="10" t="s">
        <v>76</v>
      </c>
      <c r="E23" s="11" t="s">
        <v>77</v>
      </c>
      <c r="F23" s="10" t="n">
        <v>1</v>
      </c>
      <c r="G23" s="10" t="s">
        <v>78</v>
      </c>
      <c r="H23" s="10" t="n">
        <v>8</v>
      </c>
      <c r="I23" s="10" t="s">
        <v>92</v>
      </c>
      <c r="J23" s="11" t="s">
        <v>93</v>
      </c>
      <c r="K23" s="12" t="s">
        <v>79</v>
      </c>
      <c r="L23" s="13" t="b">
        <f aca="false">TRUE()</f>
        <v>1</v>
      </c>
      <c r="M23" s="10"/>
      <c r="N23" s="14" t="s">
        <v>79</v>
      </c>
      <c r="O23" s="10"/>
      <c r="P23" s="10" t="s">
        <v>65</v>
      </c>
      <c r="Q23" s="11"/>
      <c r="R23" s="15" t="n">
        <f aca="false">COUNTIF($A$2:$A$2000,A23)</f>
        <v>3</v>
      </c>
      <c r="S23" s="15" t="n">
        <f aca="false">COUNTIFS($A$2:$A$2000,A23,$L$2:$L$2000,TRUE())</f>
        <v>1</v>
      </c>
      <c r="T23" s="16" t="str">
        <f aca="false">IF(AND(R23&gt;=2,R23&lt;=4,S23=1),"OK","CHECK")</f>
        <v>OK</v>
      </c>
    </row>
    <row r="24" customFormat="false" ht="15" hidden="false" customHeight="false" outlineLevel="0" collapsed="false">
      <c r="A24" s="17" t="s">
        <v>96</v>
      </c>
      <c r="B24" s="17" t="s">
        <v>34</v>
      </c>
      <c r="C24" s="17" t="n">
        <v>1</v>
      </c>
      <c r="D24" s="17" t="s">
        <v>76</v>
      </c>
      <c r="E24" s="5" t="s">
        <v>77</v>
      </c>
      <c r="F24" s="17" t="n">
        <v>1</v>
      </c>
      <c r="G24" s="17" t="s">
        <v>78</v>
      </c>
      <c r="H24" s="17" t="n">
        <v>8</v>
      </c>
      <c r="I24" s="17" t="s">
        <v>92</v>
      </c>
      <c r="J24" s="5" t="s">
        <v>93</v>
      </c>
      <c r="K24" s="6" t="s">
        <v>80</v>
      </c>
      <c r="L24" s="18" t="b">
        <f aca="false">FALSE()</f>
        <v>0</v>
      </c>
      <c r="M24" s="17"/>
      <c r="N24" s="19" t="s">
        <v>80</v>
      </c>
      <c r="O24" s="17"/>
      <c r="P24" s="17" t="s">
        <v>65</v>
      </c>
      <c r="Q24" s="5"/>
      <c r="R24" s="20" t="n">
        <f aca="false">COUNTIF($A$2:$A$2000,A24)</f>
        <v>3</v>
      </c>
      <c r="S24" s="20" t="n">
        <f aca="false">COUNTIFS($A$2:$A$2000,A24,$L$2:$L$2000,TRUE())</f>
        <v>1</v>
      </c>
      <c r="T24" s="21" t="str">
        <f aca="false">IF(AND(R24&gt;=2,R24&lt;=4,S24=1),"OK","CHECK")</f>
        <v>OK</v>
      </c>
    </row>
    <row r="25" customFormat="false" ht="15" hidden="false" customHeight="false" outlineLevel="0" collapsed="false">
      <c r="A25" s="17" t="s">
        <v>96</v>
      </c>
      <c r="B25" s="17" t="s">
        <v>34</v>
      </c>
      <c r="C25" s="17" t="n">
        <v>1</v>
      </c>
      <c r="D25" s="17" t="s">
        <v>76</v>
      </c>
      <c r="E25" s="5" t="s">
        <v>77</v>
      </c>
      <c r="F25" s="17" t="n">
        <v>1</v>
      </c>
      <c r="G25" s="17" t="s">
        <v>78</v>
      </c>
      <c r="H25" s="17" t="n">
        <v>8</v>
      </c>
      <c r="I25" s="17" t="s">
        <v>92</v>
      </c>
      <c r="J25" s="5" t="s">
        <v>93</v>
      </c>
      <c r="K25" s="6" t="s">
        <v>83</v>
      </c>
      <c r="L25" s="18" t="b">
        <f aca="false">FALSE()</f>
        <v>0</v>
      </c>
      <c r="M25" s="17"/>
      <c r="N25" s="19" t="s">
        <v>83</v>
      </c>
      <c r="O25" s="17"/>
      <c r="P25" s="17" t="s">
        <v>65</v>
      </c>
      <c r="Q25" s="5"/>
      <c r="R25" s="20" t="n">
        <f aca="false">COUNTIF($A$2:$A$2000,A25)</f>
        <v>3</v>
      </c>
      <c r="S25" s="20" t="n">
        <f aca="false">COUNTIFS($A$2:$A$2000,A25,$L$2:$L$2000,TRUE())</f>
        <v>1</v>
      </c>
      <c r="T25" s="21" t="str">
        <f aca="false">IF(AND(R25&gt;=2,R25&lt;=4,S25=1),"OK","CHECK")</f>
        <v>OK</v>
      </c>
    </row>
    <row r="26" customFormat="false" ht="15" hidden="false" customHeight="false" outlineLevel="0" collapsed="false">
      <c r="A26" s="10" t="s">
        <v>97</v>
      </c>
      <c r="B26" s="10" t="s">
        <v>34</v>
      </c>
      <c r="C26" s="10" t="n">
        <v>1</v>
      </c>
      <c r="D26" s="10" t="s">
        <v>76</v>
      </c>
      <c r="E26" s="11" t="s">
        <v>77</v>
      </c>
      <c r="F26" s="10" t="n">
        <v>2</v>
      </c>
      <c r="G26" s="14" t="s">
        <v>98</v>
      </c>
      <c r="H26" s="10" t="n">
        <v>1</v>
      </c>
      <c r="I26" s="10" t="s">
        <v>45</v>
      </c>
      <c r="J26" s="11" t="s">
        <v>99</v>
      </c>
      <c r="K26" s="12" t="s">
        <v>100</v>
      </c>
      <c r="L26" s="13" t="b">
        <f aca="false">TRUE()</f>
        <v>1</v>
      </c>
      <c r="M26" s="10"/>
      <c r="N26" s="14" t="s">
        <v>100</v>
      </c>
      <c r="O26" s="10"/>
      <c r="P26" s="10" t="s">
        <v>65</v>
      </c>
      <c r="Q26" s="11"/>
      <c r="R26" s="15" t="n">
        <f aca="false">COUNTIF($A$2:$A$2000,A26)</f>
        <v>3</v>
      </c>
      <c r="S26" s="15" t="n">
        <f aca="false">COUNTIFS($A$2:$A$2000,A26,$L$2:$L$2000,TRUE())</f>
        <v>1</v>
      </c>
      <c r="T26" s="16" t="str">
        <f aca="false">IF(AND(R26&gt;=2,R26&lt;=4,S26=1),"OK","CHECK")</f>
        <v>OK</v>
      </c>
    </row>
    <row r="27" customFormat="false" ht="15" hidden="false" customHeight="false" outlineLevel="0" collapsed="false">
      <c r="A27" s="17" t="s">
        <v>97</v>
      </c>
      <c r="B27" s="17" t="s">
        <v>34</v>
      </c>
      <c r="C27" s="17" t="n">
        <v>1</v>
      </c>
      <c r="D27" s="17" t="s">
        <v>76</v>
      </c>
      <c r="E27" s="5" t="s">
        <v>77</v>
      </c>
      <c r="F27" s="17" t="n">
        <v>2</v>
      </c>
      <c r="G27" s="19" t="s">
        <v>98</v>
      </c>
      <c r="H27" s="17" t="n">
        <v>1</v>
      </c>
      <c r="I27" s="17" t="s">
        <v>45</v>
      </c>
      <c r="J27" s="5" t="s">
        <v>99</v>
      </c>
      <c r="K27" s="6" t="s">
        <v>101</v>
      </c>
      <c r="L27" s="18" t="b">
        <f aca="false">FALSE()</f>
        <v>0</v>
      </c>
      <c r="M27" s="17"/>
      <c r="N27" s="19" t="s">
        <v>101</v>
      </c>
      <c r="O27" s="17"/>
      <c r="P27" s="17" t="s">
        <v>65</v>
      </c>
      <c r="Q27" s="5"/>
      <c r="R27" s="20" t="n">
        <f aca="false">COUNTIF($A$2:$A$2000,A27)</f>
        <v>3</v>
      </c>
      <c r="S27" s="20" t="n">
        <f aca="false">COUNTIFS($A$2:$A$2000,A27,$L$2:$L$2000,TRUE())</f>
        <v>1</v>
      </c>
      <c r="T27" s="21" t="str">
        <f aca="false">IF(AND(R27&gt;=2,R27&lt;=4,S27=1),"OK","CHECK")</f>
        <v>OK</v>
      </c>
    </row>
    <row r="28" customFormat="false" ht="15" hidden="false" customHeight="false" outlineLevel="0" collapsed="false">
      <c r="A28" s="17" t="s">
        <v>97</v>
      </c>
      <c r="B28" s="17" t="s">
        <v>34</v>
      </c>
      <c r="C28" s="17" t="n">
        <v>1</v>
      </c>
      <c r="D28" s="17" t="s">
        <v>76</v>
      </c>
      <c r="E28" s="5" t="s">
        <v>77</v>
      </c>
      <c r="F28" s="17" t="n">
        <v>2</v>
      </c>
      <c r="G28" s="19" t="s">
        <v>98</v>
      </c>
      <c r="H28" s="17" t="n">
        <v>1</v>
      </c>
      <c r="I28" s="17" t="s">
        <v>45</v>
      </c>
      <c r="J28" s="5" t="s">
        <v>99</v>
      </c>
      <c r="K28" s="6" t="s">
        <v>102</v>
      </c>
      <c r="L28" s="18" t="b">
        <f aca="false">FALSE()</f>
        <v>0</v>
      </c>
      <c r="M28" s="17"/>
      <c r="N28" s="19" t="s">
        <v>102</v>
      </c>
      <c r="O28" s="17"/>
      <c r="P28" s="17" t="s">
        <v>65</v>
      </c>
      <c r="Q28" s="5"/>
      <c r="R28" s="20" t="n">
        <f aca="false">COUNTIF($A$2:$A$2000,A28)</f>
        <v>3</v>
      </c>
      <c r="S28" s="20" t="n">
        <f aca="false">COUNTIFS($A$2:$A$2000,A28,$L$2:$L$2000,TRUE())</f>
        <v>1</v>
      </c>
      <c r="T28" s="21" t="str">
        <f aca="false">IF(AND(R28&gt;=2,R28&lt;=4,S28=1),"OK","CHECK")</f>
        <v>OK</v>
      </c>
    </row>
    <row r="29" customFormat="false" ht="15" hidden="false" customHeight="false" outlineLevel="0" collapsed="false">
      <c r="A29" s="10" t="s">
        <v>103</v>
      </c>
      <c r="B29" s="10" t="s">
        <v>34</v>
      </c>
      <c r="C29" s="10" t="n">
        <v>1</v>
      </c>
      <c r="D29" s="10" t="s">
        <v>76</v>
      </c>
      <c r="E29" s="11" t="s">
        <v>77</v>
      </c>
      <c r="F29" s="10" t="n">
        <v>2</v>
      </c>
      <c r="G29" s="14" t="s">
        <v>98</v>
      </c>
      <c r="H29" s="10" t="n">
        <v>2</v>
      </c>
      <c r="I29" s="10" t="s">
        <v>45</v>
      </c>
      <c r="J29" s="11" t="s">
        <v>104</v>
      </c>
      <c r="K29" s="12" t="s">
        <v>100</v>
      </c>
      <c r="L29" s="13" t="b">
        <f aca="false">FALSE()</f>
        <v>0</v>
      </c>
      <c r="M29" s="10"/>
      <c r="N29" s="14" t="s">
        <v>100</v>
      </c>
      <c r="O29" s="10"/>
      <c r="P29" s="10" t="s">
        <v>65</v>
      </c>
      <c r="Q29" s="11"/>
      <c r="R29" s="15" t="n">
        <f aca="false">COUNTIF($A$2:$A$2000,A29)</f>
        <v>3</v>
      </c>
      <c r="S29" s="15" t="n">
        <f aca="false">COUNTIFS($A$2:$A$2000,A29,$L$2:$L$2000,TRUE())</f>
        <v>1</v>
      </c>
      <c r="T29" s="16" t="str">
        <f aca="false">IF(AND(R29&gt;=2,R29&lt;=4,S29=1),"OK","CHECK")</f>
        <v>OK</v>
      </c>
    </row>
    <row r="30" customFormat="false" ht="15" hidden="false" customHeight="false" outlineLevel="0" collapsed="false">
      <c r="A30" s="17" t="s">
        <v>103</v>
      </c>
      <c r="B30" s="17" t="s">
        <v>34</v>
      </c>
      <c r="C30" s="17" t="n">
        <v>1</v>
      </c>
      <c r="D30" s="17" t="s">
        <v>76</v>
      </c>
      <c r="E30" s="5" t="s">
        <v>77</v>
      </c>
      <c r="F30" s="17" t="n">
        <v>2</v>
      </c>
      <c r="G30" s="19" t="s">
        <v>98</v>
      </c>
      <c r="H30" s="17" t="n">
        <v>2</v>
      </c>
      <c r="I30" s="17" t="s">
        <v>45</v>
      </c>
      <c r="J30" s="5" t="s">
        <v>104</v>
      </c>
      <c r="K30" s="6" t="s">
        <v>101</v>
      </c>
      <c r="L30" s="18" t="b">
        <f aca="false">TRUE()</f>
        <v>1</v>
      </c>
      <c r="M30" s="17"/>
      <c r="N30" s="19" t="s">
        <v>101</v>
      </c>
      <c r="O30" s="17"/>
      <c r="P30" s="17" t="s">
        <v>65</v>
      </c>
      <c r="Q30" s="5"/>
      <c r="R30" s="20" t="n">
        <f aca="false">COUNTIF($A$2:$A$2000,A30)</f>
        <v>3</v>
      </c>
      <c r="S30" s="20" t="n">
        <f aca="false">COUNTIFS($A$2:$A$2000,A30,$L$2:$L$2000,TRUE())</f>
        <v>1</v>
      </c>
      <c r="T30" s="21" t="str">
        <f aca="false">IF(AND(R30&gt;=2,R30&lt;=4,S30=1),"OK","CHECK")</f>
        <v>OK</v>
      </c>
    </row>
    <row r="31" customFormat="false" ht="15" hidden="false" customHeight="false" outlineLevel="0" collapsed="false">
      <c r="A31" s="17" t="s">
        <v>103</v>
      </c>
      <c r="B31" s="17" t="s">
        <v>34</v>
      </c>
      <c r="C31" s="17" t="n">
        <v>1</v>
      </c>
      <c r="D31" s="17" t="s">
        <v>76</v>
      </c>
      <c r="E31" s="5" t="s">
        <v>77</v>
      </c>
      <c r="F31" s="17" t="n">
        <v>2</v>
      </c>
      <c r="G31" s="19" t="s">
        <v>98</v>
      </c>
      <c r="H31" s="17" t="n">
        <v>2</v>
      </c>
      <c r="I31" s="17" t="s">
        <v>45</v>
      </c>
      <c r="J31" s="5" t="s">
        <v>104</v>
      </c>
      <c r="K31" s="6" t="s">
        <v>105</v>
      </c>
      <c r="L31" s="18" t="b">
        <f aca="false">FALSE()</f>
        <v>0</v>
      </c>
      <c r="M31" s="17"/>
      <c r="N31" s="19" t="s">
        <v>105</v>
      </c>
      <c r="O31" s="17"/>
      <c r="P31" s="17" t="s">
        <v>65</v>
      </c>
      <c r="Q31" s="5"/>
      <c r="R31" s="20" t="n">
        <f aca="false">COUNTIF($A$2:$A$2000,A31)</f>
        <v>3</v>
      </c>
      <c r="S31" s="20" t="n">
        <f aca="false">COUNTIFS($A$2:$A$2000,A31,$L$2:$L$2000,TRUE())</f>
        <v>1</v>
      </c>
      <c r="T31" s="21" t="str">
        <f aca="false">IF(AND(R31&gt;=2,R31&lt;=4,S31=1),"OK","CHECK")</f>
        <v>OK</v>
      </c>
    </row>
    <row r="32" customFormat="false" ht="15" hidden="false" customHeight="false" outlineLevel="0" collapsed="false">
      <c r="A32" s="10" t="s">
        <v>106</v>
      </c>
      <c r="B32" s="10" t="s">
        <v>34</v>
      </c>
      <c r="C32" s="10" t="n">
        <v>1</v>
      </c>
      <c r="D32" s="10" t="s">
        <v>76</v>
      </c>
      <c r="E32" s="11" t="s">
        <v>77</v>
      </c>
      <c r="F32" s="10" t="n">
        <v>2</v>
      </c>
      <c r="G32" s="14" t="s">
        <v>98</v>
      </c>
      <c r="H32" s="10" t="n">
        <v>3</v>
      </c>
      <c r="I32" s="10" t="s">
        <v>45</v>
      </c>
      <c r="J32" s="11" t="s">
        <v>107</v>
      </c>
      <c r="K32" s="12" t="s">
        <v>108</v>
      </c>
      <c r="L32" s="13" t="b">
        <f aca="false">FALSE()</f>
        <v>0</v>
      </c>
      <c r="M32" s="10"/>
      <c r="N32" s="14" t="s">
        <v>108</v>
      </c>
      <c r="O32" s="10"/>
      <c r="P32" s="10" t="s">
        <v>65</v>
      </c>
      <c r="Q32" s="11"/>
      <c r="R32" s="15" t="n">
        <f aca="false">COUNTIF($A$2:$A$2000,A32)</f>
        <v>3</v>
      </c>
      <c r="S32" s="15" t="n">
        <f aca="false">COUNTIFS($A$2:$A$2000,A32,$L$2:$L$2000,TRUE())</f>
        <v>1</v>
      </c>
      <c r="T32" s="16" t="str">
        <f aca="false">IF(AND(R32&gt;=2,R32&lt;=4,S32=1),"OK","CHECK")</f>
        <v>OK</v>
      </c>
    </row>
    <row r="33" customFormat="false" ht="15" hidden="false" customHeight="false" outlineLevel="0" collapsed="false">
      <c r="A33" s="17" t="s">
        <v>106</v>
      </c>
      <c r="B33" s="17" t="s">
        <v>34</v>
      </c>
      <c r="C33" s="17" t="n">
        <v>1</v>
      </c>
      <c r="D33" s="17" t="s">
        <v>76</v>
      </c>
      <c r="E33" s="5" t="s">
        <v>77</v>
      </c>
      <c r="F33" s="17" t="n">
        <v>2</v>
      </c>
      <c r="G33" s="19" t="s">
        <v>98</v>
      </c>
      <c r="H33" s="17" t="n">
        <v>3</v>
      </c>
      <c r="I33" s="17" t="s">
        <v>45</v>
      </c>
      <c r="J33" s="5" t="s">
        <v>107</v>
      </c>
      <c r="K33" s="6" t="s">
        <v>102</v>
      </c>
      <c r="L33" s="18" t="b">
        <f aca="false">TRUE()</f>
        <v>1</v>
      </c>
      <c r="M33" s="17"/>
      <c r="N33" s="19" t="s">
        <v>102</v>
      </c>
      <c r="O33" s="17"/>
      <c r="P33" s="17" t="s">
        <v>65</v>
      </c>
      <c r="Q33" s="5"/>
      <c r="R33" s="20" t="n">
        <f aca="false">COUNTIF($A$2:$A$2000,A33)</f>
        <v>3</v>
      </c>
      <c r="S33" s="20" t="n">
        <f aca="false">COUNTIFS($A$2:$A$2000,A33,$L$2:$L$2000,TRUE())</f>
        <v>1</v>
      </c>
      <c r="T33" s="21" t="str">
        <f aca="false">IF(AND(R33&gt;=2,R33&lt;=4,S33=1),"OK","CHECK")</f>
        <v>OK</v>
      </c>
    </row>
    <row r="34" customFormat="false" ht="15" hidden="false" customHeight="false" outlineLevel="0" collapsed="false">
      <c r="A34" s="17" t="s">
        <v>106</v>
      </c>
      <c r="B34" s="17" t="s">
        <v>34</v>
      </c>
      <c r="C34" s="17" t="n">
        <v>1</v>
      </c>
      <c r="D34" s="17" t="s">
        <v>76</v>
      </c>
      <c r="E34" s="5" t="s">
        <v>77</v>
      </c>
      <c r="F34" s="17" t="n">
        <v>2</v>
      </c>
      <c r="G34" s="19" t="s">
        <v>98</v>
      </c>
      <c r="H34" s="17" t="n">
        <v>3</v>
      </c>
      <c r="I34" s="17" t="s">
        <v>45</v>
      </c>
      <c r="J34" s="5" t="s">
        <v>107</v>
      </c>
      <c r="K34" s="6" t="s">
        <v>101</v>
      </c>
      <c r="L34" s="18" t="b">
        <f aca="false">FALSE()</f>
        <v>0</v>
      </c>
      <c r="M34" s="17"/>
      <c r="N34" s="19" t="s">
        <v>101</v>
      </c>
      <c r="O34" s="17"/>
      <c r="P34" s="17" t="s">
        <v>65</v>
      </c>
      <c r="Q34" s="5"/>
      <c r="R34" s="20" t="n">
        <f aca="false">COUNTIF($A$2:$A$2000,A34)</f>
        <v>3</v>
      </c>
      <c r="S34" s="20" t="n">
        <f aca="false">COUNTIFS($A$2:$A$2000,A34,$L$2:$L$2000,TRUE())</f>
        <v>1</v>
      </c>
      <c r="T34" s="21" t="str">
        <f aca="false">IF(AND(R34&gt;=2,R34&lt;=4,S34=1),"OK","CHECK")</f>
        <v>OK</v>
      </c>
    </row>
    <row r="35" customFormat="false" ht="15" hidden="false" customHeight="false" outlineLevel="0" collapsed="false">
      <c r="A35" s="10" t="s">
        <v>109</v>
      </c>
      <c r="B35" s="10" t="s">
        <v>34</v>
      </c>
      <c r="C35" s="10" t="n">
        <v>1</v>
      </c>
      <c r="D35" s="10" t="s">
        <v>76</v>
      </c>
      <c r="E35" s="11" t="s">
        <v>77</v>
      </c>
      <c r="F35" s="10" t="n">
        <v>2</v>
      </c>
      <c r="G35" s="14" t="s">
        <v>98</v>
      </c>
      <c r="H35" s="10" t="n">
        <v>4</v>
      </c>
      <c r="I35" s="10" t="s">
        <v>45</v>
      </c>
      <c r="J35" s="11" t="s">
        <v>110</v>
      </c>
      <c r="K35" s="12" t="s">
        <v>102</v>
      </c>
      <c r="L35" s="13" t="b">
        <f aca="false">FALSE()</f>
        <v>0</v>
      </c>
      <c r="M35" s="10"/>
      <c r="N35" s="14" t="s">
        <v>102</v>
      </c>
      <c r="O35" s="10"/>
      <c r="P35" s="10" t="s">
        <v>65</v>
      </c>
      <c r="Q35" s="11"/>
      <c r="R35" s="15" t="n">
        <f aca="false">COUNTIF($A$2:$A$2000,A35)</f>
        <v>3</v>
      </c>
      <c r="S35" s="15" t="n">
        <f aca="false">COUNTIFS($A$2:$A$2000,A35,$L$2:$L$2000,TRUE())</f>
        <v>1</v>
      </c>
      <c r="T35" s="16" t="str">
        <f aca="false">IF(AND(R35&gt;=2,R35&lt;=4,S35=1),"OK","CHECK")</f>
        <v>OK</v>
      </c>
    </row>
    <row r="36" customFormat="false" ht="15" hidden="false" customHeight="false" outlineLevel="0" collapsed="false">
      <c r="A36" s="17" t="s">
        <v>109</v>
      </c>
      <c r="B36" s="17" t="s">
        <v>34</v>
      </c>
      <c r="C36" s="17" t="n">
        <v>1</v>
      </c>
      <c r="D36" s="17" t="s">
        <v>76</v>
      </c>
      <c r="E36" s="5" t="s">
        <v>77</v>
      </c>
      <c r="F36" s="17" t="n">
        <v>2</v>
      </c>
      <c r="G36" s="19" t="s">
        <v>98</v>
      </c>
      <c r="H36" s="17" t="n">
        <v>4</v>
      </c>
      <c r="I36" s="17" t="s">
        <v>45</v>
      </c>
      <c r="J36" s="5" t="s">
        <v>110</v>
      </c>
      <c r="K36" s="6" t="s">
        <v>100</v>
      </c>
      <c r="L36" s="18" t="b">
        <f aca="false">FALSE()</f>
        <v>0</v>
      </c>
      <c r="M36" s="17"/>
      <c r="N36" s="19" t="s">
        <v>100</v>
      </c>
      <c r="O36" s="17"/>
      <c r="P36" s="17" t="s">
        <v>65</v>
      </c>
      <c r="Q36" s="5"/>
      <c r="R36" s="20" t="n">
        <f aca="false">COUNTIF($A$2:$A$2000,A36)</f>
        <v>3</v>
      </c>
      <c r="S36" s="20" t="n">
        <f aca="false">COUNTIFS($A$2:$A$2000,A36,$L$2:$L$2000,TRUE())</f>
        <v>1</v>
      </c>
      <c r="T36" s="21" t="str">
        <f aca="false">IF(AND(R36&gt;=2,R36&lt;=4,S36=1),"OK","CHECK")</f>
        <v>OK</v>
      </c>
    </row>
    <row r="37" customFormat="false" ht="15" hidden="false" customHeight="false" outlineLevel="0" collapsed="false">
      <c r="A37" s="17" t="s">
        <v>109</v>
      </c>
      <c r="B37" s="17" t="s">
        <v>34</v>
      </c>
      <c r="C37" s="17" t="n">
        <v>1</v>
      </c>
      <c r="D37" s="17" t="s">
        <v>76</v>
      </c>
      <c r="E37" s="5" t="s">
        <v>77</v>
      </c>
      <c r="F37" s="17" t="n">
        <v>2</v>
      </c>
      <c r="G37" s="19" t="s">
        <v>98</v>
      </c>
      <c r="H37" s="17" t="n">
        <v>4</v>
      </c>
      <c r="I37" s="17" t="s">
        <v>45</v>
      </c>
      <c r="J37" s="5" t="s">
        <v>110</v>
      </c>
      <c r="K37" s="6" t="s">
        <v>105</v>
      </c>
      <c r="L37" s="18" t="b">
        <f aca="false">TRUE()</f>
        <v>1</v>
      </c>
      <c r="M37" s="17"/>
      <c r="N37" s="19" t="s">
        <v>105</v>
      </c>
      <c r="O37" s="17"/>
      <c r="P37" s="17" t="s">
        <v>65</v>
      </c>
      <c r="Q37" s="5"/>
      <c r="R37" s="20" t="n">
        <f aca="false">COUNTIF($A$2:$A$2000,A37)</f>
        <v>3</v>
      </c>
      <c r="S37" s="20" t="n">
        <f aca="false">COUNTIFS($A$2:$A$2000,A37,$L$2:$L$2000,TRUE())</f>
        <v>1</v>
      </c>
      <c r="T37" s="21" t="str">
        <f aca="false">IF(AND(R37&gt;=2,R37&lt;=4,S37=1),"OK","CHECK")</f>
        <v>OK</v>
      </c>
    </row>
    <row r="38" customFormat="false" ht="15" hidden="false" customHeight="false" outlineLevel="0" collapsed="false">
      <c r="A38" s="10" t="s">
        <v>111</v>
      </c>
      <c r="B38" s="10" t="s">
        <v>34</v>
      </c>
      <c r="C38" s="10" t="n">
        <v>1</v>
      </c>
      <c r="D38" s="10" t="s">
        <v>76</v>
      </c>
      <c r="E38" s="11" t="s">
        <v>77</v>
      </c>
      <c r="F38" s="10" t="n">
        <v>2</v>
      </c>
      <c r="G38" s="14" t="s">
        <v>98</v>
      </c>
      <c r="H38" s="10" t="n">
        <v>5</v>
      </c>
      <c r="I38" s="10" t="s">
        <v>45</v>
      </c>
      <c r="J38" s="11" t="s">
        <v>112</v>
      </c>
      <c r="K38" s="12" t="s">
        <v>105</v>
      </c>
      <c r="L38" s="13" t="b">
        <f aca="false">FALSE()</f>
        <v>0</v>
      </c>
      <c r="M38" s="10"/>
      <c r="N38" s="14" t="s">
        <v>105</v>
      </c>
      <c r="O38" s="10"/>
      <c r="P38" s="10" t="s">
        <v>65</v>
      </c>
      <c r="Q38" s="11"/>
      <c r="R38" s="15" t="n">
        <f aca="false">COUNTIF($A$2:$A$2000,A38)</f>
        <v>3</v>
      </c>
      <c r="S38" s="15" t="n">
        <f aca="false">COUNTIFS($A$2:$A$2000,A38,$L$2:$L$2000,TRUE())</f>
        <v>1</v>
      </c>
      <c r="T38" s="16" t="str">
        <f aca="false">IF(AND(R38&gt;=2,R38&lt;=4,S38=1),"OK","CHECK")</f>
        <v>OK</v>
      </c>
    </row>
    <row r="39" customFormat="false" ht="15" hidden="false" customHeight="false" outlineLevel="0" collapsed="false">
      <c r="A39" s="17" t="s">
        <v>111</v>
      </c>
      <c r="B39" s="17" t="s">
        <v>34</v>
      </c>
      <c r="C39" s="17" t="n">
        <v>1</v>
      </c>
      <c r="D39" s="17" t="s">
        <v>76</v>
      </c>
      <c r="E39" s="5" t="s">
        <v>77</v>
      </c>
      <c r="F39" s="17" t="n">
        <v>2</v>
      </c>
      <c r="G39" s="19" t="s">
        <v>98</v>
      </c>
      <c r="H39" s="17" t="n">
        <v>5</v>
      </c>
      <c r="I39" s="17" t="s">
        <v>45</v>
      </c>
      <c r="J39" s="5" t="s">
        <v>112</v>
      </c>
      <c r="K39" s="6" t="s">
        <v>108</v>
      </c>
      <c r="L39" s="18" t="b">
        <f aca="false">TRUE()</f>
        <v>1</v>
      </c>
      <c r="M39" s="17"/>
      <c r="N39" s="19" t="s">
        <v>108</v>
      </c>
      <c r="O39" s="17"/>
      <c r="P39" s="17" t="s">
        <v>65</v>
      </c>
      <c r="Q39" s="5"/>
      <c r="R39" s="20" t="n">
        <f aca="false">COUNTIF($A$2:$A$2000,A39)</f>
        <v>3</v>
      </c>
      <c r="S39" s="20" t="n">
        <f aca="false">COUNTIFS($A$2:$A$2000,A39,$L$2:$L$2000,TRUE())</f>
        <v>1</v>
      </c>
      <c r="T39" s="21" t="str">
        <f aca="false">IF(AND(R39&gt;=2,R39&lt;=4,S39=1),"OK","CHECK")</f>
        <v>OK</v>
      </c>
    </row>
    <row r="40" customFormat="false" ht="15" hidden="false" customHeight="false" outlineLevel="0" collapsed="false">
      <c r="A40" s="17" t="s">
        <v>111</v>
      </c>
      <c r="B40" s="17" t="s">
        <v>34</v>
      </c>
      <c r="C40" s="17" t="n">
        <v>1</v>
      </c>
      <c r="D40" s="17" t="s">
        <v>76</v>
      </c>
      <c r="E40" s="5" t="s">
        <v>77</v>
      </c>
      <c r="F40" s="17" t="n">
        <v>2</v>
      </c>
      <c r="G40" s="19" t="s">
        <v>98</v>
      </c>
      <c r="H40" s="17" t="n">
        <v>5</v>
      </c>
      <c r="I40" s="17" t="s">
        <v>45</v>
      </c>
      <c r="J40" s="5" t="s">
        <v>112</v>
      </c>
      <c r="K40" s="6" t="s">
        <v>102</v>
      </c>
      <c r="L40" s="18" t="b">
        <f aca="false">FALSE()</f>
        <v>0</v>
      </c>
      <c r="M40" s="17"/>
      <c r="N40" s="19" t="s">
        <v>102</v>
      </c>
      <c r="O40" s="17"/>
      <c r="P40" s="17" t="s">
        <v>65</v>
      </c>
      <c r="Q40" s="5"/>
      <c r="R40" s="20" t="n">
        <f aca="false">COUNTIF($A$2:$A$2000,A40)</f>
        <v>3</v>
      </c>
      <c r="S40" s="20" t="n">
        <f aca="false">COUNTIFS($A$2:$A$2000,A40,$L$2:$L$2000,TRUE())</f>
        <v>1</v>
      </c>
      <c r="T40" s="21" t="str">
        <f aca="false">IF(AND(R40&gt;=2,R40&lt;=4,S40=1),"OK","CHECK")</f>
        <v>OK</v>
      </c>
    </row>
    <row r="41" customFormat="false" ht="15" hidden="false" customHeight="false" outlineLevel="0" collapsed="false">
      <c r="A41" s="10" t="s">
        <v>113</v>
      </c>
      <c r="B41" s="10" t="s">
        <v>34</v>
      </c>
      <c r="C41" s="10" t="n">
        <v>1</v>
      </c>
      <c r="D41" s="10" t="s">
        <v>76</v>
      </c>
      <c r="E41" s="11" t="s">
        <v>77</v>
      </c>
      <c r="F41" s="10" t="n">
        <v>2</v>
      </c>
      <c r="G41" s="14" t="s">
        <v>98</v>
      </c>
      <c r="H41" s="10" t="n">
        <v>6</v>
      </c>
      <c r="I41" s="10" t="s">
        <v>92</v>
      </c>
      <c r="J41" s="11" t="s">
        <v>93</v>
      </c>
      <c r="K41" s="12" t="s">
        <v>100</v>
      </c>
      <c r="L41" s="13" t="b">
        <f aca="false">FALSE()</f>
        <v>0</v>
      </c>
      <c r="M41" s="10"/>
      <c r="N41" s="14" t="s">
        <v>100</v>
      </c>
      <c r="O41" s="10"/>
      <c r="P41" s="10" t="s">
        <v>65</v>
      </c>
      <c r="Q41" s="11"/>
      <c r="R41" s="15" t="n">
        <f aca="false">COUNTIF($A$2:$A$2000,A41)</f>
        <v>3</v>
      </c>
      <c r="S41" s="15" t="n">
        <f aca="false">COUNTIFS($A$2:$A$2000,A41,$L$2:$L$2000,TRUE())</f>
        <v>1</v>
      </c>
      <c r="T41" s="16" t="str">
        <f aca="false">IF(AND(R41&gt;=2,R41&lt;=4,S41=1),"OK","CHECK")</f>
        <v>OK</v>
      </c>
    </row>
    <row r="42" customFormat="false" ht="15" hidden="false" customHeight="false" outlineLevel="0" collapsed="false">
      <c r="A42" s="17" t="s">
        <v>113</v>
      </c>
      <c r="B42" s="17" t="s">
        <v>34</v>
      </c>
      <c r="C42" s="17" t="n">
        <v>1</v>
      </c>
      <c r="D42" s="17" t="s">
        <v>76</v>
      </c>
      <c r="E42" s="5" t="s">
        <v>77</v>
      </c>
      <c r="F42" s="17" t="n">
        <v>2</v>
      </c>
      <c r="G42" s="19" t="s">
        <v>98</v>
      </c>
      <c r="H42" s="17" t="n">
        <v>6</v>
      </c>
      <c r="I42" s="17" t="s">
        <v>92</v>
      </c>
      <c r="J42" s="5" t="s">
        <v>93</v>
      </c>
      <c r="K42" s="6" t="s">
        <v>102</v>
      </c>
      <c r="L42" s="18" t="b">
        <f aca="false">FALSE()</f>
        <v>0</v>
      </c>
      <c r="M42" s="17"/>
      <c r="N42" s="19" t="s">
        <v>102</v>
      </c>
      <c r="O42" s="17"/>
      <c r="P42" s="17" t="s">
        <v>65</v>
      </c>
      <c r="Q42" s="5"/>
      <c r="R42" s="20" t="n">
        <f aca="false">COUNTIF($A$2:$A$2000,A42)</f>
        <v>3</v>
      </c>
      <c r="S42" s="20" t="n">
        <f aca="false">COUNTIFS($A$2:$A$2000,A42,$L$2:$L$2000,TRUE())</f>
        <v>1</v>
      </c>
      <c r="T42" s="21" t="str">
        <f aca="false">IF(AND(R42&gt;=2,R42&lt;=4,S42=1),"OK","CHECK")</f>
        <v>OK</v>
      </c>
    </row>
    <row r="43" customFormat="false" ht="15" hidden="false" customHeight="false" outlineLevel="0" collapsed="false">
      <c r="A43" s="17" t="s">
        <v>113</v>
      </c>
      <c r="B43" s="17" t="s">
        <v>34</v>
      </c>
      <c r="C43" s="17" t="n">
        <v>1</v>
      </c>
      <c r="D43" s="17" t="s">
        <v>76</v>
      </c>
      <c r="E43" s="5" t="s">
        <v>77</v>
      </c>
      <c r="F43" s="17" t="n">
        <v>2</v>
      </c>
      <c r="G43" s="19" t="s">
        <v>98</v>
      </c>
      <c r="H43" s="17" t="n">
        <v>6</v>
      </c>
      <c r="I43" s="17" t="s">
        <v>92</v>
      </c>
      <c r="J43" s="5" t="s">
        <v>93</v>
      </c>
      <c r="K43" s="6" t="s">
        <v>101</v>
      </c>
      <c r="L43" s="18" t="b">
        <f aca="false">TRUE()</f>
        <v>1</v>
      </c>
      <c r="M43" s="17"/>
      <c r="N43" s="19" t="s">
        <v>101</v>
      </c>
      <c r="O43" s="17"/>
      <c r="P43" s="17" t="s">
        <v>65</v>
      </c>
      <c r="Q43" s="5"/>
      <c r="R43" s="20" t="n">
        <f aca="false">COUNTIF($A$2:$A$2000,A43)</f>
        <v>3</v>
      </c>
      <c r="S43" s="20" t="n">
        <f aca="false">COUNTIFS($A$2:$A$2000,A43,$L$2:$L$2000,TRUE())</f>
        <v>1</v>
      </c>
      <c r="T43" s="21" t="str">
        <f aca="false">IF(AND(R43&gt;=2,R43&lt;=4,S43=1),"OK","CHECK")</f>
        <v>OK</v>
      </c>
    </row>
    <row r="44" customFormat="false" ht="15" hidden="false" customHeight="false" outlineLevel="0" collapsed="false">
      <c r="A44" s="10" t="s">
        <v>114</v>
      </c>
      <c r="B44" s="10" t="s">
        <v>34</v>
      </c>
      <c r="C44" s="10" t="n">
        <v>1</v>
      </c>
      <c r="D44" s="10" t="s">
        <v>76</v>
      </c>
      <c r="E44" s="11" t="s">
        <v>77</v>
      </c>
      <c r="F44" s="10" t="n">
        <v>2</v>
      </c>
      <c r="G44" s="14" t="s">
        <v>98</v>
      </c>
      <c r="H44" s="10" t="n">
        <v>7</v>
      </c>
      <c r="I44" s="10" t="s">
        <v>92</v>
      </c>
      <c r="J44" s="11" t="s">
        <v>93</v>
      </c>
      <c r="K44" s="12" t="s">
        <v>105</v>
      </c>
      <c r="L44" s="13" t="b">
        <f aca="false">FALSE()</f>
        <v>0</v>
      </c>
      <c r="M44" s="10"/>
      <c r="N44" s="14" t="s">
        <v>105</v>
      </c>
      <c r="O44" s="10"/>
      <c r="P44" s="10" t="s">
        <v>65</v>
      </c>
      <c r="Q44" s="11"/>
      <c r="R44" s="15" t="n">
        <f aca="false">COUNTIF($A$2:$A$2000,A44)</f>
        <v>3</v>
      </c>
      <c r="S44" s="15" t="n">
        <f aca="false">COUNTIFS($A$2:$A$2000,A44,$L$2:$L$2000,TRUE())</f>
        <v>1</v>
      </c>
      <c r="T44" s="16" t="str">
        <f aca="false">IF(AND(R44&gt;=2,R44&lt;=4,S44=1),"OK","CHECK")</f>
        <v>OK</v>
      </c>
    </row>
    <row r="45" customFormat="false" ht="15" hidden="false" customHeight="false" outlineLevel="0" collapsed="false">
      <c r="A45" s="17" t="s">
        <v>114</v>
      </c>
      <c r="B45" s="17" t="s">
        <v>34</v>
      </c>
      <c r="C45" s="17" t="n">
        <v>1</v>
      </c>
      <c r="D45" s="17" t="s">
        <v>76</v>
      </c>
      <c r="E45" s="5" t="s">
        <v>77</v>
      </c>
      <c r="F45" s="17" t="n">
        <v>2</v>
      </c>
      <c r="G45" s="19" t="s">
        <v>98</v>
      </c>
      <c r="H45" s="17" t="n">
        <v>7</v>
      </c>
      <c r="I45" s="17" t="s">
        <v>92</v>
      </c>
      <c r="J45" s="5" t="s">
        <v>93</v>
      </c>
      <c r="K45" s="6" t="s">
        <v>108</v>
      </c>
      <c r="L45" s="18" t="b">
        <f aca="false">TRUE()</f>
        <v>1</v>
      </c>
      <c r="M45" s="17"/>
      <c r="N45" s="19" t="s">
        <v>108</v>
      </c>
      <c r="O45" s="17"/>
      <c r="P45" s="17" t="s">
        <v>65</v>
      </c>
      <c r="Q45" s="5"/>
      <c r="R45" s="20" t="n">
        <f aca="false">COUNTIF($A$2:$A$2000,A45)</f>
        <v>3</v>
      </c>
      <c r="S45" s="20" t="n">
        <f aca="false">COUNTIFS($A$2:$A$2000,A45,$L$2:$L$2000,TRUE())</f>
        <v>1</v>
      </c>
      <c r="T45" s="21" t="str">
        <f aca="false">IF(AND(R45&gt;=2,R45&lt;=4,S45=1),"OK","CHECK")</f>
        <v>OK</v>
      </c>
    </row>
    <row r="46" customFormat="false" ht="15" hidden="false" customHeight="false" outlineLevel="0" collapsed="false">
      <c r="A46" s="17" t="s">
        <v>114</v>
      </c>
      <c r="B46" s="17" t="s">
        <v>34</v>
      </c>
      <c r="C46" s="17" t="n">
        <v>1</v>
      </c>
      <c r="D46" s="17" t="s">
        <v>76</v>
      </c>
      <c r="E46" s="5" t="s">
        <v>77</v>
      </c>
      <c r="F46" s="17" t="n">
        <v>2</v>
      </c>
      <c r="G46" s="19" t="s">
        <v>98</v>
      </c>
      <c r="H46" s="17" t="n">
        <v>7</v>
      </c>
      <c r="I46" s="17" t="s">
        <v>92</v>
      </c>
      <c r="J46" s="5" t="s">
        <v>93</v>
      </c>
      <c r="K46" s="6" t="s">
        <v>100</v>
      </c>
      <c r="L46" s="18" t="b">
        <f aca="false">FALSE()</f>
        <v>0</v>
      </c>
      <c r="M46" s="17"/>
      <c r="N46" s="19" t="s">
        <v>100</v>
      </c>
      <c r="O46" s="17"/>
      <c r="P46" s="17" t="s">
        <v>65</v>
      </c>
      <c r="Q46" s="5"/>
      <c r="R46" s="20" t="n">
        <f aca="false">COUNTIF($A$2:$A$2000,A46)</f>
        <v>3</v>
      </c>
      <c r="S46" s="20" t="n">
        <f aca="false">COUNTIFS($A$2:$A$2000,A46,$L$2:$L$2000,TRUE())</f>
        <v>1</v>
      </c>
      <c r="T46" s="21" t="str">
        <f aca="false">IF(AND(R46&gt;=2,R46&lt;=4,S46=1),"OK","CHECK")</f>
        <v>OK</v>
      </c>
    </row>
    <row r="47" customFormat="false" ht="23.85" hidden="false" customHeight="false" outlineLevel="0" collapsed="false">
      <c r="A47" s="10" t="s">
        <v>115</v>
      </c>
      <c r="B47" s="10" t="s">
        <v>34</v>
      </c>
      <c r="C47" s="10" t="n">
        <v>1</v>
      </c>
      <c r="D47" s="10" t="s">
        <v>76</v>
      </c>
      <c r="E47" s="11" t="s">
        <v>77</v>
      </c>
      <c r="F47" s="10" t="n">
        <v>2</v>
      </c>
      <c r="G47" s="14" t="s">
        <v>98</v>
      </c>
      <c r="H47" s="10" t="n">
        <v>8</v>
      </c>
      <c r="I47" s="10" t="s">
        <v>116</v>
      </c>
      <c r="J47" s="12" t="s">
        <v>102</v>
      </c>
      <c r="K47" s="11" t="s">
        <v>117</v>
      </c>
      <c r="L47" s="13" t="b">
        <f aca="false">TRUE()</f>
        <v>1</v>
      </c>
      <c r="M47" s="10"/>
      <c r="N47" s="10"/>
      <c r="O47" s="10"/>
      <c r="P47" s="10" t="s">
        <v>65</v>
      </c>
      <c r="Q47" s="11" t="s">
        <v>118</v>
      </c>
      <c r="R47" s="15" t="n">
        <f aca="false">COUNTIF($A$2:$A$2000,A47)</f>
        <v>3</v>
      </c>
      <c r="S47" s="15" t="n">
        <f aca="false">COUNTIFS($A$2:$A$2000,A47,$L$2:$L$2000,TRUE())</f>
        <v>1</v>
      </c>
      <c r="T47" s="16" t="str">
        <f aca="false">IF(AND(R47&gt;=2,R47&lt;=4,S47=1),"OK","CHECK")</f>
        <v>OK</v>
      </c>
    </row>
    <row r="48" customFormat="false" ht="15" hidden="false" customHeight="false" outlineLevel="0" collapsed="false">
      <c r="A48" s="17" t="s">
        <v>115</v>
      </c>
      <c r="B48" s="17" t="s">
        <v>34</v>
      </c>
      <c r="C48" s="17" t="n">
        <v>1</v>
      </c>
      <c r="D48" s="17" t="s">
        <v>76</v>
      </c>
      <c r="E48" s="5" t="s">
        <v>77</v>
      </c>
      <c r="F48" s="17" t="n">
        <v>2</v>
      </c>
      <c r="G48" s="19" t="s">
        <v>98</v>
      </c>
      <c r="H48" s="17" t="n">
        <v>8</v>
      </c>
      <c r="I48" s="17" t="s">
        <v>116</v>
      </c>
      <c r="J48" s="6" t="s">
        <v>102</v>
      </c>
      <c r="K48" s="5" t="s">
        <v>119</v>
      </c>
      <c r="L48" s="18" t="b">
        <f aca="false">FALSE()</f>
        <v>0</v>
      </c>
      <c r="M48" s="17"/>
      <c r="N48" s="17"/>
      <c r="O48" s="17"/>
      <c r="P48" s="17" t="s">
        <v>65</v>
      </c>
      <c r="Q48" s="5"/>
      <c r="R48" s="20" t="n">
        <f aca="false">COUNTIF($A$2:$A$2000,A48)</f>
        <v>3</v>
      </c>
      <c r="S48" s="20" t="n">
        <f aca="false">COUNTIFS($A$2:$A$2000,A48,$L$2:$L$2000,TRUE())</f>
        <v>1</v>
      </c>
      <c r="T48" s="21" t="str">
        <f aca="false">IF(AND(R48&gt;=2,R48&lt;=4,S48=1),"OK","CHECK")</f>
        <v>OK</v>
      </c>
    </row>
    <row r="49" customFormat="false" ht="15" hidden="false" customHeight="false" outlineLevel="0" collapsed="false">
      <c r="A49" s="17" t="s">
        <v>115</v>
      </c>
      <c r="B49" s="17" t="s">
        <v>34</v>
      </c>
      <c r="C49" s="17" t="n">
        <v>1</v>
      </c>
      <c r="D49" s="17" t="s">
        <v>76</v>
      </c>
      <c r="E49" s="5" t="s">
        <v>77</v>
      </c>
      <c r="F49" s="17" t="n">
        <v>2</v>
      </c>
      <c r="G49" s="19" t="s">
        <v>98</v>
      </c>
      <c r="H49" s="17" t="n">
        <v>8</v>
      </c>
      <c r="I49" s="17" t="s">
        <v>116</v>
      </c>
      <c r="J49" s="6" t="s">
        <v>102</v>
      </c>
      <c r="K49" s="5" t="s">
        <v>120</v>
      </c>
      <c r="L49" s="18" t="b">
        <f aca="false">FALSE()</f>
        <v>0</v>
      </c>
      <c r="M49" s="17"/>
      <c r="N49" s="17"/>
      <c r="O49" s="17"/>
      <c r="P49" s="17" t="s">
        <v>65</v>
      </c>
      <c r="Q49" s="5"/>
      <c r="R49" s="20" t="n">
        <f aca="false">COUNTIF($A$2:$A$2000,A49)</f>
        <v>3</v>
      </c>
      <c r="S49" s="20" t="n">
        <f aca="false">COUNTIFS($A$2:$A$2000,A49,$L$2:$L$2000,TRUE())</f>
        <v>1</v>
      </c>
      <c r="T49" s="21" t="str">
        <f aca="false">IF(AND(R49&gt;=2,R49&lt;=4,S49=1),"OK","CHECK")</f>
        <v>OK</v>
      </c>
    </row>
    <row r="50" customFormat="false" ht="15" hidden="false" customHeight="false" outlineLevel="0" collapsed="false">
      <c r="A50" s="10" t="s">
        <v>121</v>
      </c>
      <c r="B50" s="10" t="s">
        <v>34</v>
      </c>
      <c r="C50" s="10" t="n">
        <v>1</v>
      </c>
      <c r="D50" s="10" t="s">
        <v>76</v>
      </c>
      <c r="E50" s="11" t="s">
        <v>77</v>
      </c>
      <c r="F50" s="10" t="n">
        <v>3</v>
      </c>
      <c r="G50" s="10" t="s">
        <v>122</v>
      </c>
      <c r="H50" s="10" t="n">
        <v>1</v>
      </c>
      <c r="I50" s="10" t="s">
        <v>116</v>
      </c>
      <c r="J50" s="12" t="s">
        <v>123</v>
      </c>
      <c r="K50" s="11" t="s">
        <v>124</v>
      </c>
      <c r="L50" s="13" t="b">
        <f aca="false">FALSE()</f>
        <v>0</v>
      </c>
      <c r="M50" s="10"/>
      <c r="N50" s="10"/>
      <c r="O50" s="10"/>
      <c r="P50" s="10" t="s">
        <v>65</v>
      </c>
      <c r="Q50" s="11" t="s">
        <v>125</v>
      </c>
      <c r="R50" s="15" t="n">
        <f aca="false">COUNTIF($A$2:$A$2000,A50)</f>
        <v>3</v>
      </c>
      <c r="S50" s="15" t="n">
        <f aca="false">COUNTIFS($A$2:$A$2000,A50,$L$2:$L$2000,TRUE())</f>
        <v>1</v>
      </c>
      <c r="T50" s="16" t="str">
        <f aca="false">IF(AND(R50&gt;=2,R50&lt;=4,S50=1),"OK","CHECK")</f>
        <v>OK</v>
      </c>
    </row>
    <row r="51" customFormat="false" ht="15" hidden="false" customHeight="false" outlineLevel="0" collapsed="false">
      <c r="A51" s="17" t="s">
        <v>121</v>
      </c>
      <c r="B51" s="17" t="s">
        <v>34</v>
      </c>
      <c r="C51" s="17" t="n">
        <v>1</v>
      </c>
      <c r="D51" s="17" t="s">
        <v>76</v>
      </c>
      <c r="E51" s="5" t="s">
        <v>77</v>
      </c>
      <c r="F51" s="17" t="n">
        <v>3</v>
      </c>
      <c r="G51" s="17" t="s">
        <v>122</v>
      </c>
      <c r="H51" s="17" t="n">
        <v>1</v>
      </c>
      <c r="I51" s="17" t="s">
        <v>116</v>
      </c>
      <c r="J51" s="6" t="s">
        <v>123</v>
      </c>
      <c r="K51" s="5" t="s">
        <v>126</v>
      </c>
      <c r="L51" s="18" t="b">
        <f aca="false">TRUE()</f>
        <v>1</v>
      </c>
      <c r="M51" s="17"/>
      <c r="N51" s="17"/>
      <c r="O51" s="17"/>
      <c r="P51" s="17" t="s">
        <v>65</v>
      </c>
      <c r="Q51" s="5"/>
      <c r="R51" s="20" t="n">
        <f aca="false">COUNTIF($A$2:$A$2000,A51)</f>
        <v>3</v>
      </c>
      <c r="S51" s="20" t="n">
        <f aca="false">COUNTIFS($A$2:$A$2000,A51,$L$2:$L$2000,TRUE())</f>
        <v>1</v>
      </c>
      <c r="T51" s="21" t="str">
        <f aca="false">IF(AND(R51&gt;=2,R51&lt;=4,S51=1),"OK","CHECK")</f>
        <v>OK</v>
      </c>
    </row>
    <row r="52" customFormat="false" ht="15" hidden="false" customHeight="false" outlineLevel="0" collapsed="false">
      <c r="A52" s="17" t="s">
        <v>121</v>
      </c>
      <c r="B52" s="17" t="s">
        <v>34</v>
      </c>
      <c r="C52" s="17" t="n">
        <v>1</v>
      </c>
      <c r="D52" s="17" t="s">
        <v>76</v>
      </c>
      <c r="E52" s="5" t="s">
        <v>77</v>
      </c>
      <c r="F52" s="17" t="n">
        <v>3</v>
      </c>
      <c r="G52" s="17" t="s">
        <v>122</v>
      </c>
      <c r="H52" s="17" t="n">
        <v>1</v>
      </c>
      <c r="I52" s="17" t="s">
        <v>116</v>
      </c>
      <c r="J52" s="6" t="s">
        <v>123</v>
      </c>
      <c r="K52" s="5" t="s">
        <v>127</v>
      </c>
      <c r="L52" s="18" t="b">
        <f aca="false">FALSE()</f>
        <v>0</v>
      </c>
      <c r="M52" s="17"/>
      <c r="N52" s="17"/>
      <c r="O52" s="17"/>
      <c r="P52" s="17" t="s">
        <v>65</v>
      </c>
      <c r="Q52" s="5"/>
      <c r="R52" s="20" t="n">
        <f aca="false">COUNTIF($A$2:$A$2000,A52)</f>
        <v>3</v>
      </c>
      <c r="S52" s="20" t="n">
        <f aca="false">COUNTIFS($A$2:$A$2000,A52,$L$2:$L$2000,TRUE())</f>
        <v>1</v>
      </c>
      <c r="T52" s="21" t="str">
        <f aca="false">IF(AND(R52&gt;=2,R52&lt;=4,S52=1),"OK","CHECK")</f>
        <v>OK</v>
      </c>
    </row>
    <row r="53" customFormat="false" ht="15" hidden="false" customHeight="false" outlineLevel="0" collapsed="false">
      <c r="A53" s="10" t="s">
        <v>128</v>
      </c>
      <c r="B53" s="10" t="s">
        <v>34</v>
      </c>
      <c r="C53" s="10" t="n">
        <v>1</v>
      </c>
      <c r="D53" s="10" t="s">
        <v>76</v>
      </c>
      <c r="E53" s="11" t="s">
        <v>77</v>
      </c>
      <c r="F53" s="10" t="n">
        <v>3</v>
      </c>
      <c r="G53" s="10" t="s">
        <v>122</v>
      </c>
      <c r="H53" s="10" t="n">
        <v>2</v>
      </c>
      <c r="I53" s="10" t="s">
        <v>116</v>
      </c>
      <c r="J53" s="12" t="s">
        <v>129</v>
      </c>
      <c r="K53" s="11" t="s">
        <v>127</v>
      </c>
      <c r="L53" s="13" t="b">
        <f aca="false">TRUE()</f>
        <v>1</v>
      </c>
      <c r="M53" s="10"/>
      <c r="N53" s="10"/>
      <c r="O53" s="10"/>
      <c r="P53" s="10" t="s">
        <v>65</v>
      </c>
      <c r="Q53" s="11"/>
      <c r="R53" s="15" t="n">
        <f aca="false">COUNTIF($A$2:$A$2000,A53)</f>
        <v>3</v>
      </c>
      <c r="S53" s="15" t="n">
        <f aca="false">COUNTIFS($A$2:$A$2000,A53,$L$2:$L$2000,TRUE())</f>
        <v>1</v>
      </c>
      <c r="T53" s="16" t="str">
        <f aca="false">IF(AND(R53&gt;=2,R53&lt;=4,S53=1),"OK","CHECK")</f>
        <v>OK</v>
      </c>
    </row>
    <row r="54" customFormat="false" ht="15" hidden="false" customHeight="false" outlineLevel="0" collapsed="false">
      <c r="A54" s="17" t="s">
        <v>128</v>
      </c>
      <c r="B54" s="17" t="s">
        <v>34</v>
      </c>
      <c r="C54" s="17" t="n">
        <v>1</v>
      </c>
      <c r="D54" s="17" t="s">
        <v>76</v>
      </c>
      <c r="E54" s="5" t="s">
        <v>77</v>
      </c>
      <c r="F54" s="17" t="n">
        <v>3</v>
      </c>
      <c r="G54" s="17" t="s">
        <v>122</v>
      </c>
      <c r="H54" s="17" t="n">
        <v>2</v>
      </c>
      <c r="I54" s="17" t="s">
        <v>116</v>
      </c>
      <c r="J54" s="6" t="s">
        <v>129</v>
      </c>
      <c r="K54" s="5" t="s">
        <v>130</v>
      </c>
      <c r="L54" s="18" t="b">
        <f aca="false">FALSE()</f>
        <v>0</v>
      </c>
      <c r="M54" s="17"/>
      <c r="N54" s="17"/>
      <c r="O54" s="17"/>
      <c r="P54" s="17" t="s">
        <v>65</v>
      </c>
      <c r="Q54" s="5"/>
      <c r="R54" s="20" t="n">
        <f aca="false">COUNTIF($A$2:$A$2000,A54)</f>
        <v>3</v>
      </c>
      <c r="S54" s="20" t="n">
        <f aca="false">COUNTIFS($A$2:$A$2000,A54,$L$2:$L$2000,TRUE())</f>
        <v>1</v>
      </c>
      <c r="T54" s="21" t="str">
        <f aca="false">IF(AND(R54&gt;=2,R54&lt;=4,S54=1),"OK","CHECK")</f>
        <v>OK</v>
      </c>
    </row>
    <row r="55" customFormat="false" ht="15" hidden="false" customHeight="false" outlineLevel="0" collapsed="false">
      <c r="A55" s="17" t="s">
        <v>128</v>
      </c>
      <c r="B55" s="17" t="s">
        <v>34</v>
      </c>
      <c r="C55" s="17" t="n">
        <v>1</v>
      </c>
      <c r="D55" s="17" t="s">
        <v>76</v>
      </c>
      <c r="E55" s="5" t="s">
        <v>77</v>
      </c>
      <c r="F55" s="17" t="n">
        <v>3</v>
      </c>
      <c r="G55" s="17" t="s">
        <v>122</v>
      </c>
      <c r="H55" s="17" t="n">
        <v>2</v>
      </c>
      <c r="I55" s="17" t="s">
        <v>116</v>
      </c>
      <c r="J55" s="6" t="s">
        <v>129</v>
      </c>
      <c r="K55" s="5" t="s">
        <v>131</v>
      </c>
      <c r="L55" s="18" t="b">
        <f aca="false">FALSE()</f>
        <v>0</v>
      </c>
      <c r="M55" s="17"/>
      <c r="N55" s="17"/>
      <c r="O55" s="17"/>
      <c r="P55" s="17" t="s">
        <v>65</v>
      </c>
      <c r="Q55" s="5"/>
      <c r="R55" s="20" t="n">
        <f aca="false">COUNTIF($A$2:$A$2000,A55)</f>
        <v>3</v>
      </c>
      <c r="S55" s="20" t="n">
        <f aca="false">COUNTIFS($A$2:$A$2000,A55,$L$2:$L$2000,TRUE())</f>
        <v>1</v>
      </c>
      <c r="T55" s="21" t="str">
        <f aca="false">IF(AND(R55&gt;=2,R55&lt;=4,S55=1),"OK","CHECK")</f>
        <v>OK</v>
      </c>
    </row>
    <row r="56" customFormat="false" ht="15" hidden="false" customHeight="false" outlineLevel="0" collapsed="false">
      <c r="A56" s="10" t="s">
        <v>132</v>
      </c>
      <c r="B56" s="10" t="s">
        <v>34</v>
      </c>
      <c r="C56" s="10" t="n">
        <v>1</v>
      </c>
      <c r="D56" s="10" t="s">
        <v>76</v>
      </c>
      <c r="E56" s="11" t="s">
        <v>77</v>
      </c>
      <c r="F56" s="10" t="n">
        <v>3</v>
      </c>
      <c r="G56" s="10" t="s">
        <v>122</v>
      </c>
      <c r="H56" s="10" t="n">
        <v>3</v>
      </c>
      <c r="I56" s="10" t="s">
        <v>92</v>
      </c>
      <c r="J56" s="11" t="s">
        <v>93</v>
      </c>
      <c r="K56" s="12" t="s">
        <v>123</v>
      </c>
      <c r="L56" s="13" t="b">
        <f aca="false">FALSE()</f>
        <v>0</v>
      </c>
      <c r="M56" s="10"/>
      <c r="N56" s="14" t="s">
        <v>133</v>
      </c>
      <c r="O56" s="10"/>
      <c r="P56" s="10" t="s">
        <v>65</v>
      </c>
      <c r="Q56" s="11"/>
      <c r="R56" s="15" t="n">
        <f aca="false">COUNTIF($A$2:$A$2000,A56)</f>
        <v>3</v>
      </c>
      <c r="S56" s="15" t="n">
        <f aca="false">COUNTIFS($A$2:$A$2000,A56,$L$2:$L$2000,TRUE())</f>
        <v>1</v>
      </c>
      <c r="T56" s="16" t="str">
        <f aca="false">IF(AND(R56&gt;=2,R56&lt;=4,S56=1),"OK","CHECK")</f>
        <v>OK</v>
      </c>
    </row>
    <row r="57" customFormat="false" ht="15" hidden="false" customHeight="false" outlineLevel="0" collapsed="false">
      <c r="A57" s="17" t="s">
        <v>132</v>
      </c>
      <c r="B57" s="17" t="s">
        <v>34</v>
      </c>
      <c r="C57" s="17" t="n">
        <v>1</v>
      </c>
      <c r="D57" s="17" t="s">
        <v>76</v>
      </c>
      <c r="E57" s="5" t="s">
        <v>77</v>
      </c>
      <c r="F57" s="17" t="n">
        <v>3</v>
      </c>
      <c r="G57" s="17" t="s">
        <v>122</v>
      </c>
      <c r="H57" s="17" t="n">
        <v>3</v>
      </c>
      <c r="I57" s="17" t="s">
        <v>92</v>
      </c>
      <c r="J57" s="5" t="s">
        <v>93</v>
      </c>
      <c r="K57" s="6" t="s">
        <v>134</v>
      </c>
      <c r="L57" s="18" t="b">
        <f aca="false">FALSE()</f>
        <v>0</v>
      </c>
      <c r="M57" s="17"/>
      <c r="N57" s="19" t="s">
        <v>135</v>
      </c>
      <c r="O57" s="17"/>
      <c r="P57" s="17" t="s">
        <v>65</v>
      </c>
      <c r="Q57" s="5"/>
      <c r="R57" s="20" t="n">
        <f aca="false">COUNTIF($A$2:$A$2000,A57)</f>
        <v>3</v>
      </c>
      <c r="S57" s="20" t="n">
        <f aca="false">COUNTIFS($A$2:$A$2000,A57,$L$2:$L$2000,TRUE())</f>
        <v>1</v>
      </c>
      <c r="T57" s="21" t="str">
        <f aca="false">IF(AND(R57&gt;=2,R57&lt;=4,S57=1),"OK","CHECK")</f>
        <v>OK</v>
      </c>
    </row>
    <row r="58" customFormat="false" ht="15" hidden="false" customHeight="false" outlineLevel="0" collapsed="false">
      <c r="A58" s="17" t="s">
        <v>132</v>
      </c>
      <c r="B58" s="17" t="s">
        <v>34</v>
      </c>
      <c r="C58" s="17" t="n">
        <v>1</v>
      </c>
      <c r="D58" s="17" t="s">
        <v>76</v>
      </c>
      <c r="E58" s="5" t="s">
        <v>77</v>
      </c>
      <c r="F58" s="17" t="n">
        <v>3</v>
      </c>
      <c r="G58" s="17" t="s">
        <v>122</v>
      </c>
      <c r="H58" s="17" t="n">
        <v>3</v>
      </c>
      <c r="I58" s="17" t="s">
        <v>92</v>
      </c>
      <c r="J58" s="5" t="s">
        <v>93</v>
      </c>
      <c r="K58" s="6" t="s">
        <v>129</v>
      </c>
      <c r="L58" s="18" t="b">
        <f aca="false">TRUE()</f>
        <v>1</v>
      </c>
      <c r="M58" s="17"/>
      <c r="N58" s="19" t="s">
        <v>136</v>
      </c>
      <c r="O58" s="17"/>
      <c r="P58" s="17" t="s">
        <v>65</v>
      </c>
      <c r="Q58" s="5"/>
      <c r="R58" s="20" t="n">
        <f aca="false">COUNTIF($A$2:$A$2000,A58)</f>
        <v>3</v>
      </c>
      <c r="S58" s="20" t="n">
        <f aca="false">COUNTIFS($A$2:$A$2000,A58,$L$2:$L$2000,TRUE())</f>
        <v>1</v>
      </c>
      <c r="T58" s="21" t="str">
        <f aca="false">IF(AND(R58&gt;=2,R58&lt;=4,S58=1),"OK","CHECK")</f>
        <v>OK</v>
      </c>
    </row>
    <row r="59" customFormat="false" ht="15" hidden="false" customHeight="false" outlineLevel="0" collapsed="false">
      <c r="A59" s="10" t="s">
        <v>137</v>
      </c>
      <c r="B59" s="10" t="s">
        <v>34</v>
      </c>
      <c r="C59" s="10" t="n">
        <v>1</v>
      </c>
      <c r="D59" s="10" t="s">
        <v>76</v>
      </c>
      <c r="E59" s="11" t="s">
        <v>77</v>
      </c>
      <c r="F59" s="10" t="n">
        <v>3</v>
      </c>
      <c r="G59" s="10" t="s">
        <v>122</v>
      </c>
      <c r="H59" s="10" t="n">
        <v>4</v>
      </c>
      <c r="I59" s="10" t="s">
        <v>116</v>
      </c>
      <c r="J59" s="12" t="s">
        <v>134</v>
      </c>
      <c r="K59" s="11" t="s">
        <v>138</v>
      </c>
      <c r="L59" s="13" t="b">
        <f aca="false">FALSE()</f>
        <v>0</v>
      </c>
      <c r="M59" s="10"/>
      <c r="N59" s="10"/>
      <c r="O59" s="10"/>
      <c r="P59" s="10" t="s">
        <v>65</v>
      </c>
      <c r="Q59" s="11"/>
      <c r="R59" s="15" t="n">
        <f aca="false">COUNTIF($A$2:$A$2000,A59)</f>
        <v>3</v>
      </c>
      <c r="S59" s="15" t="n">
        <f aca="false">COUNTIFS($A$2:$A$2000,A59,$L$2:$L$2000,TRUE())</f>
        <v>1</v>
      </c>
      <c r="T59" s="16" t="str">
        <f aca="false">IF(AND(R59&gt;=2,R59&lt;=4,S59=1),"OK","CHECK")</f>
        <v>OK</v>
      </c>
    </row>
    <row r="60" customFormat="false" ht="15" hidden="false" customHeight="false" outlineLevel="0" collapsed="false">
      <c r="A60" s="17" t="s">
        <v>137</v>
      </c>
      <c r="B60" s="17" t="s">
        <v>34</v>
      </c>
      <c r="C60" s="17" t="n">
        <v>1</v>
      </c>
      <c r="D60" s="17" t="s">
        <v>76</v>
      </c>
      <c r="E60" s="5" t="s">
        <v>77</v>
      </c>
      <c r="F60" s="17" t="n">
        <v>3</v>
      </c>
      <c r="G60" s="17" t="s">
        <v>122</v>
      </c>
      <c r="H60" s="17" t="n">
        <v>4</v>
      </c>
      <c r="I60" s="17" t="s">
        <v>116</v>
      </c>
      <c r="J60" s="6" t="s">
        <v>134</v>
      </c>
      <c r="K60" s="5" t="s">
        <v>127</v>
      </c>
      <c r="L60" s="18" t="b">
        <f aca="false">FALSE()</f>
        <v>0</v>
      </c>
      <c r="M60" s="17"/>
      <c r="N60" s="17"/>
      <c r="O60" s="17"/>
      <c r="P60" s="17" t="s">
        <v>65</v>
      </c>
      <c r="Q60" s="5"/>
      <c r="R60" s="20" t="n">
        <f aca="false">COUNTIF($A$2:$A$2000,A60)</f>
        <v>3</v>
      </c>
      <c r="S60" s="20" t="n">
        <f aca="false">COUNTIFS($A$2:$A$2000,A60,$L$2:$L$2000,TRUE())</f>
        <v>1</v>
      </c>
      <c r="T60" s="21" t="str">
        <f aca="false">IF(AND(R60&gt;=2,R60&lt;=4,S60=1),"OK","CHECK")</f>
        <v>OK</v>
      </c>
    </row>
    <row r="61" customFormat="false" ht="15" hidden="false" customHeight="false" outlineLevel="0" collapsed="false">
      <c r="A61" s="17" t="s">
        <v>137</v>
      </c>
      <c r="B61" s="17" t="s">
        <v>34</v>
      </c>
      <c r="C61" s="17" t="n">
        <v>1</v>
      </c>
      <c r="D61" s="17" t="s">
        <v>76</v>
      </c>
      <c r="E61" s="5" t="s">
        <v>77</v>
      </c>
      <c r="F61" s="17" t="n">
        <v>3</v>
      </c>
      <c r="G61" s="17" t="s">
        <v>122</v>
      </c>
      <c r="H61" s="17" t="n">
        <v>4</v>
      </c>
      <c r="I61" s="17" t="s">
        <v>116</v>
      </c>
      <c r="J61" s="6" t="s">
        <v>134</v>
      </c>
      <c r="K61" s="5" t="s">
        <v>124</v>
      </c>
      <c r="L61" s="18" t="b">
        <f aca="false">TRUE()</f>
        <v>1</v>
      </c>
      <c r="M61" s="17"/>
      <c r="N61" s="17"/>
      <c r="O61" s="17"/>
      <c r="P61" s="17" t="s">
        <v>65</v>
      </c>
      <c r="Q61" s="5"/>
      <c r="R61" s="20" t="n">
        <f aca="false">COUNTIF($A$2:$A$2000,A61)</f>
        <v>3</v>
      </c>
      <c r="S61" s="20" t="n">
        <f aca="false">COUNTIFS($A$2:$A$2000,A61,$L$2:$L$2000,TRUE())</f>
        <v>1</v>
      </c>
      <c r="T61" s="21" t="str">
        <f aca="false">IF(AND(R61&gt;=2,R61&lt;=4,S61=1),"OK","CHECK")</f>
        <v>OK</v>
      </c>
    </row>
    <row r="62" customFormat="false" ht="15" hidden="false" customHeight="false" outlineLevel="0" collapsed="false">
      <c r="A62" s="10" t="s">
        <v>139</v>
      </c>
      <c r="B62" s="10" t="s">
        <v>34</v>
      </c>
      <c r="C62" s="10" t="n">
        <v>1</v>
      </c>
      <c r="D62" s="10" t="s">
        <v>76</v>
      </c>
      <c r="E62" s="11" t="s">
        <v>77</v>
      </c>
      <c r="F62" s="10" t="n">
        <v>3</v>
      </c>
      <c r="G62" s="10" t="s">
        <v>122</v>
      </c>
      <c r="H62" s="10" t="n">
        <v>5</v>
      </c>
      <c r="I62" s="10" t="s">
        <v>116</v>
      </c>
      <c r="J62" s="12" t="s">
        <v>140</v>
      </c>
      <c r="K62" s="11" t="s">
        <v>141</v>
      </c>
      <c r="L62" s="13" t="b">
        <f aca="false">FALSE()</f>
        <v>0</v>
      </c>
      <c r="M62" s="10"/>
      <c r="N62" s="10"/>
      <c r="O62" s="10"/>
      <c r="P62" s="10" t="s">
        <v>65</v>
      </c>
      <c r="Q62" s="11"/>
      <c r="R62" s="15" t="n">
        <f aca="false">COUNTIF($A$2:$A$2000,A62)</f>
        <v>3</v>
      </c>
      <c r="S62" s="15" t="n">
        <f aca="false">COUNTIFS($A$2:$A$2000,A62,$L$2:$L$2000,TRUE())</f>
        <v>1</v>
      </c>
      <c r="T62" s="16" t="str">
        <f aca="false">IF(AND(R62&gt;=2,R62&lt;=4,S62=1),"OK","CHECK")</f>
        <v>OK</v>
      </c>
    </row>
    <row r="63" customFormat="false" ht="15" hidden="false" customHeight="false" outlineLevel="0" collapsed="false">
      <c r="A63" s="17" t="s">
        <v>139</v>
      </c>
      <c r="B63" s="17" t="s">
        <v>34</v>
      </c>
      <c r="C63" s="17" t="n">
        <v>1</v>
      </c>
      <c r="D63" s="17" t="s">
        <v>76</v>
      </c>
      <c r="E63" s="5" t="s">
        <v>77</v>
      </c>
      <c r="F63" s="17" t="n">
        <v>3</v>
      </c>
      <c r="G63" s="17" t="s">
        <v>122</v>
      </c>
      <c r="H63" s="17" t="n">
        <v>5</v>
      </c>
      <c r="I63" s="17" t="s">
        <v>116</v>
      </c>
      <c r="J63" s="6" t="s">
        <v>140</v>
      </c>
      <c r="K63" s="5" t="s">
        <v>138</v>
      </c>
      <c r="L63" s="18" t="b">
        <f aca="false">TRUE()</f>
        <v>1</v>
      </c>
      <c r="M63" s="17"/>
      <c r="N63" s="17"/>
      <c r="O63" s="17"/>
      <c r="P63" s="17" t="s">
        <v>65</v>
      </c>
      <c r="Q63" s="5"/>
      <c r="R63" s="20" t="n">
        <f aca="false">COUNTIF($A$2:$A$2000,A63)</f>
        <v>3</v>
      </c>
      <c r="S63" s="20" t="n">
        <f aca="false">COUNTIFS($A$2:$A$2000,A63,$L$2:$L$2000,TRUE())</f>
        <v>1</v>
      </c>
      <c r="T63" s="21" t="str">
        <f aca="false">IF(AND(R63&gt;=2,R63&lt;=4,S63=1),"OK","CHECK")</f>
        <v>OK</v>
      </c>
    </row>
    <row r="64" customFormat="false" ht="15" hidden="false" customHeight="false" outlineLevel="0" collapsed="false">
      <c r="A64" s="17" t="s">
        <v>139</v>
      </c>
      <c r="B64" s="17" t="s">
        <v>34</v>
      </c>
      <c r="C64" s="17" t="n">
        <v>1</v>
      </c>
      <c r="D64" s="17" t="s">
        <v>76</v>
      </c>
      <c r="E64" s="5" t="s">
        <v>77</v>
      </c>
      <c r="F64" s="17" t="n">
        <v>3</v>
      </c>
      <c r="G64" s="17" t="s">
        <v>122</v>
      </c>
      <c r="H64" s="17" t="n">
        <v>5</v>
      </c>
      <c r="I64" s="17" t="s">
        <v>116</v>
      </c>
      <c r="J64" s="6" t="s">
        <v>140</v>
      </c>
      <c r="K64" s="5" t="s">
        <v>124</v>
      </c>
      <c r="L64" s="18" t="b">
        <f aca="false">FALSE()</f>
        <v>0</v>
      </c>
      <c r="M64" s="17"/>
      <c r="N64" s="17"/>
      <c r="O64" s="17"/>
      <c r="P64" s="17" t="s">
        <v>65</v>
      </c>
      <c r="Q64" s="5"/>
      <c r="R64" s="20" t="n">
        <f aca="false">COUNTIF($A$2:$A$2000,A64)</f>
        <v>3</v>
      </c>
      <c r="S64" s="20" t="n">
        <f aca="false">COUNTIFS($A$2:$A$2000,A64,$L$2:$L$2000,TRUE())</f>
        <v>1</v>
      </c>
      <c r="T64" s="21" t="str">
        <f aca="false">IF(AND(R64&gt;=2,R64&lt;=4,S64=1),"OK","CHECK")</f>
        <v>OK</v>
      </c>
    </row>
    <row r="65" customFormat="false" ht="15" hidden="false" customHeight="false" outlineLevel="0" collapsed="false">
      <c r="A65" s="10" t="s">
        <v>142</v>
      </c>
      <c r="B65" s="10" t="s">
        <v>34</v>
      </c>
      <c r="C65" s="10" t="n">
        <v>1</v>
      </c>
      <c r="D65" s="10" t="s">
        <v>76</v>
      </c>
      <c r="E65" s="11" t="s">
        <v>77</v>
      </c>
      <c r="F65" s="10" t="n">
        <v>3</v>
      </c>
      <c r="G65" s="10" t="s">
        <v>122</v>
      </c>
      <c r="H65" s="10" t="n">
        <v>6</v>
      </c>
      <c r="I65" s="10" t="s">
        <v>45</v>
      </c>
      <c r="J65" s="11" t="s">
        <v>143</v>
      </c>
      <c r="K65" s="12" t="s">
        <v>140</v>
      </c>
      <c r="L65" s="13" t="b">
        <f aca="false">FALSE()</f>
        <v>0</v>
      </c>
      <c r="M65" s="10"/>
      <c r="N65" s="14" t="s">
        <v>144</v>
      </c>
      <c r="O65" s="10"/>
      <c r="P65" s="10" t="s">
        <v>65</v>
      </c>
      <c r="Q65" s="11"/>
      <c r="R65" s="15" t="n">
        <f aca="false">COUNTIF($A$2:$A$2000,A65)</f>
        <v>3</v>
      </c>
      <c r="S65" s="15" t="n">
        <f aca="false">COUNTIFS($A$2:$A$2000,A65,$L$2:$L$2000,TRUE())</f>
        <v>1</v>
      </c>
      <c r="T65" s="16" t="str">
        <f aca="false">IF(AND(R65&gt;=2,R65&lt;=4,S65=1),"OK","CHECK")</f>
        <v>OK</v>
      </c>
    </row>
    <row r="66" customFormat="false" ht="15" hidden="false" customHeight="false" outlineLevel="0" collapsed="false">
      <c r="A66" s="17" t="s">
        <v>142</v>
      </c>
      <c r="B66" s="17" t="s">
        <v>34</v>
      </c>
      <c r="C66" s="17" t="n">
        <v>1</v>
      </c>
      <c r="D66" s="17" t="s">
        <v>76</v>
      </c>
      <c r="E66" s="5" t="s">
        <v>77</v>
      </c>
      <c r="F66" s="17" t="n">
        <v>3</v>
      </c>
      <c r="G66" s="17" t="s">
        <v>122</v>
      </c>
      <c r="H66" s="17" t="n">
        <v>6</v>
      </c>
      <c r="I66" s="17" t="s">
        <v>45</v>
      </c>
      <c r="J66" s="5" t="s">
        <v>143</v>
      </c>
      <c r="K66" s="6" t="s">
        <v>134</v>
      </c>
      <c r="L66" s="18" t="b">
        <f aca="false">FALSE()</f>
        <v>0</v>
      </c>
      <c r="M66" s="17"/>
      <c r="N66" s="19" t="s">
        <v>135</v>
      </c>
      <c r="O66" s="17"/>
      <c r="P66" s="17" t="s">
        <v>65</v>
      </c>
      <c r="Q66" s="5"/>
      <c r="R66" s="20" t="n">
        <f aca="false">COUNTIF($A$2:$A$2000,A66)</f>
        <v>3</v>
      </c>
      <c r="S66" s="20" t="n">
        <f aca="false">COUNTIFS($A$2:$A$2000,A66,$L$2:$L$2000,TRUE())</f>
        <v>1</v>
      </c>
      <c r="T66" s="21" t="str">
        <f aca="false">IF(AND(R66&gt;=2,R66&lt;=4,S66=1),"OK","CHECK")</f>
        <v>OK</v>
      </c>
    </row>
    <row r="67" customFormat="false" ht="15" hidden="false" customHeight="false" outlineLevel="0" collapsed="false">
      <c r="A67" s="17" t="s">
        <v>142</v>
      </c>
      <c r="B67" s="17" t="s">
        <v>34</v>
      </c>
      <c r="C67" s="17" t="n">
        <v>1</v>
      </c>
      <c r="D67" s="17" t="s">
        <v>76</v>
      </c>
      <c r="E67" s="5" t="s">
        <v>77</v>
      </c>
      <c r="F67" s="17" t="n">
        <v>3</v>
      </c>
      <c r="G67" s="17" t="s">
        <v>122</v>
      </c>
      <c r="H67" s="17" t="n">
        <v>6</v>
      </c>
      <c r="I67" s="17" t="s">
        <v>45</v>
      </c>
      <c r="J67" s="5" t="s">
        <v>143</v>
      </c>
      <c r="K67" s="6" t="s">
        <v>129</v>
      </c>
      <c r="L67" s="18" t="b">
        <f aca="false">TRUE()</f>
        <v>1</v>
      </c>
      <c r="M67" s="17"/>
      <c r="N67" s="19" t="s">
        <v>136</v>
      </c>
      <c r="O67" s="17"/>
      <c r="P67" s="17" t="s">
        <v>65</v>
      </c>
      <c r="Q67" s="5"/>
      <c r="R67" s="20" t="n">
        <f aca="false">COUNTIF($A$2:$A$2000,A67)</f>
        <v>3</v>
      </c>
      <c r="S67" s="20" t="n">
        <f aca="false">COUNTIFS($A$2:$A$2000,A67,$L$2:$L$2000,TRUE())</f>
        <v>1</v>
      </c>
      <c r="T67" s="21" t="str">
        <f aca="false">IF(AND(R67&gt;=2,R67&lt;=4,S67=1),"OK","CHECK")</f>
        <v>OK</v>
      </c>
    </row>
    <row r="68" customFormat="false" ht="15" hidden="false" customHeight="false" outlineLevel="0" collapsed="false">
      <c r="A68" s="10" t="s">
        <v>145</v>
      </c>
      <c r="B68" s="10" t="s">
        <v>34</v>
      </c>
      <c r="C68" s="10" t="n">
        <v>1</v>
      </c>
      <c r="D68" s="10" t="s">
        <v>76</v>
      </c>
      <c r="E68" s="11" t="s">
        <v>77</v>
      </c>
      <c r="F68" s="10" t="n">
        <v>3</v>
      </c>
      <c r="G68" s="10" t="s">
        <v>122</v>
      </c>
      <c r="H68" s="10" t="n">
        <v>7</v>
      </c>
      <c r="I68" s="10" t="s">
        <v>116</v>
      </c>
      <c r="J68" s="12" t="s">
        <v>146</v>
      </c>
      <c r="K68" s="11" t="s">
        <v>127</v>
      </c>
      <c r="L68" s="13" t="b">
        <f aca="false">FALSE()</f>
        <v>0</v>
      </c>
      <c r="M68" s="10"/>
      <c r="N68" s="10"/>
      <c r="O68" s="10"/>
      <c r="P68" s="10" t="s">
        <v>65</v>
      </c>
      <c r="Q68" s="11"/>
      <c r="R68" s="15" t="n">
        <f aca="false">COUNTIF($A$2:$A$2000,A68)</f>
        <v>3</v>
      </c>
      <c r="S68" s="15" t="n">
        <f aca="false">COUNTIFS($A$2:$A$2000,A68,$L$2:$L$2000,TRUE())</f>
        <v>1</v>
      </c>
      <c r="T68" s="16" t="str">
        <f aca="false">IF(AND(R68&gt;=2,R68&lt;=4,S68=1),"OK","CHECK")</f>
        <v>OK</v>
      </c>
    </row>
    <row r="69" customFormat="false" ht="15" hidden="false" customHeight="false" outlineLevel="0" collapsed="false">
      <c r="A69" s="17" t="s">
        <v>145</v>
      </c>
      <c r="B69" s="17" t="s">
        <v>34</v>
      </c>
      <c r="C69" s="17" t="n">
        <v>1</v>
      </c>
      <c r="D69" s="17" t="s">
        <v>76</v>
      </c>
      <c r="E69" s="5" t="s">
        <v>77</v>
      </c>
      <c r="F69" s="17" t="n">
        <v>3</v>
      </c>
      <c r="G69" s="17" t="s">
        <v>122</v>
      </c>
      <c r="H69" s="17" t="n">
        <v>7</v>
      </c>
      <c r="I69" s="17" t="s">
        <v>116</v>
      </c>
      <c r="J69" s="6" t="s">
        <v>146</v>
      </c>
      <c r="K69" s="5" t="s">
        <v>130</v>
      </c>
      <c r="L69" s="18" t="b">
        <f aca="false">FALSE()</f>
        <v>0</v>
      </c>
      <c r="M69" s="17"/>
      <c r="N69" s="17"/>
      <c r="O69" s="17"/>
      <c r="P69" s="17" t="s">
        <v>65</v>
      </c>
      <c r="Q69" s="5"/>
      <c r="R69" s="20" t="n">
        <f aca="false">COUNTIF($A$2:$A$2000,A69)</f>
        <v>3</v>
      </c>
      <c r="S69" s="20" t="n">
        <f aca="false">COUNTIFS($A$2:$A$2000,A69,$L$2:$L$2000,TRUE())</f>
        <v>1</v>
      </c>
      <c r="T69" s="21" t="str">
        <f aca="false">IF(AND(R69&gt;=2,R69&lt;=4,S69=1),"OK","CHECK")</f>
        <v>OK</v>
      </c>
    </row>
    <row r="70" customFormat="false" ht="15" hidden="false" customHeight="false" outlineLevel="0" collapsed="false">
      <c r="A70" s="17" t="s">
        <v>145</v>
      </c>
      <c r="B70" s="17" t="s">
        <v>34</v>
      </c>
      <c r="C70" s="17" t="n">
        <v>1</v>
      </c>
      <c r="D70" s="17" t="s">
        <v>76</v>
      </c>
      <c r="E70" s="5" t="s">
        <v>77</v>
      </c>
      <c r="F70" s="17" t="n">
        <v>3</v>
      </c>
      <c r="G70" s="17" t="s">
        <v>122</v>
      </c>
      <c r="H70" s="17" t="n">
        <v>7</v>
      </c>
      <c r="I70" s="17" t="s">
        <v>116</v>
      </c>
      <c r="J70" s="6" t="s">
        <v>146</v>
      </c>
      <c r="K70" s="5" t="s">
        <v>147</v>
      </c>
      <c r="L70" s="18" t="b">
        <f aca="false">TRUE()</f>
        <v>1</v>
      </c>
      <c r="M70" s="17"/>
      <c r="N70" s="17"/>
      <c r="O70" s="17"/>
      <c r="P70" s="17" t="s">
        <v>65</v>
      </c>
      <c r="Q70" s="5"/>
      <c r="R70" s="20" t="n">
        <f aca="false">COUNTIF($A$2:$A$2000,A70)</f>
        <v>3</v>
      </c>
      <c r="S70" s="20" t="n">
        <f aca="false">COUNTIFS($A$2:$A$2000,A70,$L$2:$L$2000,TRUE())</f>
        <v>1</v>
      </c>
      <c r="T70" s="21" t="str">
        <f aca="false">IF(AND(R70&gt;=2,R70&lt;=4,S70=1),"OK","CHECK")</f>
        <v>OK</v>
      </c>
    </row>
    <row r="71" customFormat="false" ht="15" hidden="false" customHeight="false" outlineLevel="0" collapsed="false">
      <c r="A71" s="10" t="s">
        <v>148</v>
      </c>
      <c r="B71" s="10" t="s">
        <v>34</v>
      </c>
      <c r="C71" s="10" t="n">
        <v>1</v>
      </c>
      <c r="D71" s="10" t="s">
        <v>76</v>
      </c>
      <c r="E71" s="11" t="s">
        <v>77</v>
      </c>
      <c r="F71" s="10" t="n">
        <v>3</v>
      </c>
      <c r="G71" s="10" t="s">
        <v>122</v>
      </c>
      <c r="H71" s="10" t="n">
        <v>8</v>
      </c>
      <c r="I71" s="10" t="s">
        <v>92</v>
      </c>
      <c r="J71" s="11" t="s">
        <v>93</v>
      </c>
      <c r="K71" s="12" t="s">
        <v>140</v>
      </c>
      <c r="L71" s="13" t="b">
        <f aca="false">TRUE()</f>
        <v>1</v>
      </c>
      <c r="M71" s="10"/>
      <c r="N71" s="14" t="s">
        <v>144</v>
      </c>
      <c r="O71" s="10"/>
      <c r="P71" s="10" t="s">
        <v>65</v>
      </c>
      <c r="Q71" s="11"/>
      <c r="R71" s="15" t="n">
        <f aca="false">COUNTIF($A$2:$A$2000,A71)</f>
        <v>3</v>
      </c>
      <c r="S71" s="15" t="n">
        <f aca="false">COUNTIFS($A$2:$A$2000,A71,$L$2:$L$2000,TRUE())</f>
        <v>1</v>
      </c>
      <c r="T71" s="16" t="str">
        <f aca="false">IF(AND(R71&gt;=2,R71&lt;=4,S71=1),"OK","CHECK")</f>
        <v>OK</v>
      </c>
    </row>
    <row r="72" customFormat="false" ht="15" hidden="false" customHeight="false" outlineLevel="0" collapsed="false">
      <c r="A72" s="17" t="s">
        <v>148</v>
      </c>
      <c r="B72" s="17" t="s">
        <v>34</v>
      </c>
      <c r="C72" s="17" t="n">
        <v>1</v>
      </c>
      <c r="D72" s="17" t="s">
        <v>76</v>
      </c>
      <c r="E72" s="5" t="s">
        <v>77</v>
      </c>
      <c r="F72" s="17" t="n">
        <v>3</v>
      </c>
      <c r="G72" s="17" t="s">
        <v>122</v>
      </c>
      <c r="H72" s="17" t="n">
        <v>8</v>
      </c>
      <c r="I72" s="17" t="s">
        <v>92</v>
      </c>
      <c r="J72" s="5" t="s">
        <v>93</v>
      </c>
      <c r="K72" s="6" t="s">
        <v>123</v>
      </c>
      <c r="L72" s="18" t="b">
        <f aca="false">FALSE()</f>
        <v>0</v>
      </c>
      <c r="M72" s="17"/>
      <c r="N72" s="19" t="s">
        <v>133</v>
      </c>
      <c r="O72" s="17"/>
      <c r="P72" s="17" t="s">
        <v>65</v>
      </c>
      <c r="Q72" s="5"/>
      <c r="R72" s="20" t="n">
        <f aca="false">COUNTIF($A$2:$A$2000,A72)</f>
        <v>3</v>
      </c>
      <c r="S72" s="20" t="n">
        <f aca="false">COUNTIFS($A$2:$A$2000,A72,$L$2:$L$2000,TRUE())</f>
        <v>1</v>
      </c>
      <c r="T72" s="21" t="str">
        <f aca="false">IF(AND(R72&gt;=2,R72&lt;=4,S72=1),"OK","CHECK")</f>
        <v>OK</v>
      </c>
    </row>
    <row r="73" customFormat="false" ht="15" hidden="false" customHeight="false" outlineLevel="0" collapsed="false">
      <c r="A73" s="17" t="s">
        <v>148</v>
      </c>
      <c r="B73" s="17" t="s">
        <v>34</v>
      </c>
      <c r="C73" s="17" t="n">
        <v>1</v>
      </c>
      <c r="D73" s="17" t="s">
        <v>76</v>
      </c>
      <c r="E73" s="5" t="s">
        <v>77</v>
      </c>
      <c r="F73" s="17" t="n">
        <v>3</v>
      </c>
      <c r="G73" s="17" t="s">
        <v>122</v>
      </c>
      <c r="H73" s="17" t="n">
        <v>8</v>
      </c>
      <c r="I73" s="17" t="s">
        <v>92</v>
      </c>
      <c r="J73" s="5" t="s">
        <v>93</v>
      </c>
      <c r="K73" s="6" t="s">
        <v>146</v>
      </c>
      <c r="L73" s="18" t="b">
        <f aca="false">FALSE()</f>
        <v>0</v>
      </c>
      <c r="M73" s="17"/>
      <c r="N73" s="19" t="s">
        <v>149</v>
      </c>
      <c r="O73" s="17"/>
      <c r="P73" s="17" t="s">
        <v>65</v>
      </c>
      <c r="Q73" s="5"/>
      <c r="R73" s="20" t="n">
        <f aca="false">COUNTIF($A$2:$A$2000,A73)</f>
        <v>3</v>
      </c>
      <c r="S73" s="20" t="n">
        <f aca="false">COUNTIFS($A$2:$A$2000,A73,$L$2:$L$2000,TRUE())</f>
        <v>1</v>
      </c>
      <c r="T73" s="21" t="str">
        <f aca="false">IF(AND(R73&gt;=2,R73&lt;=4,S73=1),"OK","CHECK")</f>
        <v>OK</v>
      </c>
    </row>
    <row r="74" customFormat="false" ht="15" hidden="false" customHeight="false" outlineLevel="0" collapsed="false">
      <c r="A74" s="10" t="s">
        <v>150</v>
      </c>
      <c r="B74" s="10" t="s">
        <v>34</v>
      </c>
      <c r="C74" s="10" t="n">
        <v>1</v>
      </c>
      <c r="D74" s="10" t="s">
        <v>76</v>
      </c>
      <c r="E74" s="11" t="s">
        <v>77</v>
      </c>
      <c r="F74" s="10" t="n">
        <v>4</v>
      </c>
      <c r="G74" s="10" t="s">
        <v>151</v>
      </c>
      <c r="H74" s="10" t="n">
        <v>1</v>
      </c>
      <c r="I74" s="10" t="s">
        <v>116</v>
      </c>
      <c r="J74" s="12" t="s">
        <v>152</v>
      </c>
      <c r="K74" s="11" t="s">
        <v>29</v>
      </c>
      <c r="L74" s="13" t="b">
        <f aca="false">TRUE()</f>
        <v>1</v>
      </c>
      <c r="M74" s="10"/>
      <c r="N74" s="10"/>
      <c r="O74" s="10"/>
      <c r="P74" s="10" t="s">
        <v>65</v>
      </c>
      <c r="Q74" s="11"/>
      <c r="R74" s="15" t="n">
        <f aca="false">COUNTIF($A$2:$A$2000,A74)</f>
        <v>3</v>
      </c>
      <c r="S74" s="15" t="n">
        <f aca="false">COUNTIFS($A$2:$A$2000,A74,$L$2:$L$2000,TRUE())</f>
        <v>1</v>
      </c>
      <c r="T74" s="16" t="str">
        <f aca="false">IF(AND(R74&gt;=2,R74&lt;=4,S74=1),"OK","CHECK")</f>
        <v>OK</v>
      </c>
    </row>
    <row r="75" customFormat="false" ht="15" hidden="false" customHeight="false" outlineLevel="0" collapsed="false">
      <c r="A75" s="17" t="s">
        <v>150</v>
      </c>
      <c r="B75" s="17" t="s">
        <v>34</v>
      </c>
      <c r="C75" s="17" t="n">
        <v>1</v>
      </c>
      <c r="D75" s="17" t="s">
        <v>76</v>
      </c>
      <c r="E75" s="5" t="s">
        <v>77</v>
      </c>
      <c r="F75" s="17" t="n">
        <v>4</v>
      </c>
      <c r="G75" s="17" t="s">
        <v>151</v>
      </c>
      <c r="H75" s="17" t="n">
        <v>1</v>
      </c>
      <c r="I75" s="17" t="s">
        <v>116</v>
      </c>
      <c r="J75" s="6" t="s">
        <v>152</v>
      </c>
      <c r="K75" s="5" t="s">
        <v>55</v>
      </c>
      <c r="L75" s="18" t="b">
        <f aca="false">FALSE()</f>
        <v>0</v>
      </c>
      <c r="M75" s="17"/>
      <c r="N75" s="17"/>
      <c r="O75" s="17"/>
      <c r="P75" s="17" t="s">
        <v>65</v>
      </c>
      <c r="Q75" s="5"/>
      <c r="R75" s="20" t="n">
        <f aca="false">COUNTIF($A$2:$A$2000,A75)</f>
        <v>3</v>
      </c>
      <c r="S75" s="20" t="n">
        <f aca="false">COUNTIFS($A$2:$A$2000,A75,$L$2:$L$2000,TRUE())</f>
        <v>1</v>
      </c>
      <c r="T75" s="21" t="str">
        <f aca="false">IF(AND(R75&gt;=2,R75&lt;=4,S75=1),"OK","CHECK")</f>
        <v>OK</v>
      </c>
    </row>
    <row r="76" customFormat="false" ht="15" hidden="false" customHeight="false" outlineLevel="0" collapsed="false">
      <c r="A76" s="17" t="s">
        <v>150</v>
      </c>
      <c r="B76" s="17" t="s">
        <v>34</v>
      </c>
      <c r="C76" s="17" t="n">
        <v>1</v>
      </c>
      <c r="D76" s="17" t="s">
        <v>76</v>
      </c>
      <c r="E76" s="5" t="s">
        <v>77</v>
      </c>
      <c r="F76" s="17" t="n">
        <v>4</v>
      </c>
      <c r="G76" s="17" t="s">
        <v>151</v>
      </c>
      <c r="H76" s="17" t="n">
        <v>1</v>
      </c>
      <c r="I76" s="17" t="s">
        <v>116</v>
      </c>
      <c r="J76" s="6" t="s">
        <v>152</v>
      </c>
      <c r="K76" s="5" t="s">
        <v>130</v>
      </c>
      <c r="L76" s="18" t="b">
        <f aca="false">FALSE()</f>
        <v>0</v>
      </c>
      <c r="M76" s="17"/>
      <c r="N76" s="17"/>
      <c r="O76" s="17"/>
      <c r="P76" s="17" t="s">
        <v>65</v>
      </c>
      <c r="Q76" s="5"/>
      <c r="R76" s="20" t="n">
        <f aca="false">COUNTIF($A$2:$A$2000,A76)</f>
        <v>3</v>
      </c>
      <c r="S76" s="20" t="n">
        <f aca="false">COUNTIFS($A$2:$A$2000,A76,$L$2:$L$2000,TRUE())</f>
        <v>1</v>
      </c>
      <c r="T76" s="21" t="str">
        <f aca="false">IF(AND(R76&gt;=2,R76&lt;=4,S76=1),"OK","CHECK")</f>
        <v>OK</v>
      </c>
    </row>
    <row r="77" customFormat="false" ht="15" hidden="false" customHeight="false" outlineLevel="0" collapsed="false">
      <c r="A77" s="10" t="s">
        <v>153</v>
      </c>
      <c r="B77" s="10" t="s">
        <v>34</v>
      </c>
      <c r="C77" s="10" t="n">
        <v>1</v>
      </c>
      <c r="D77" s="10" t="s">
        <v>76</v>
      </c>
      <c r="E77" s="11" t="s">
        <v>77</v>
      </c>
      <c r="F77" s="10" t="n">
        <v>4</v>
      </c>
      <c r="G77" s="10" t="s">
        <v>151</v>
      </c>
      <c r="H77" s="10" t="n">
        <v>2</v>
      </c>
      <c r="I77" s="10" t="s">
        <v>116</v>
      </c>
      <c r="J77" s="12" t="s">
        <v>154</v>
      </c>
      <c r="K77" s="11" t="s">
        <v>29</v>
      </c>
      <c r="L77" s="13" t="b">
        <f aca="false">FALSE()</f>
        <v>0</v>
      </c>
      <c r="M77" s="10"/>
      <c r="N77" s="10"/>
      <c r="O77" s="10"/>
      <c r="P77" s="10" t="s">
        <v>65</v>
      </c>
      <c r="Q77" s="11"/>
      <c r="R77" s="15" t="n">
        <f aca="false">COUNTIF($A$2:$A$2000,A77)</f>
        <v>3</v>
      </c>
      <c r="S77" s="15" t="n">
        <f aca="false">COUNTIFS($A$2:$A$2000,A77,$L$2:$L$2000,TRUE())</f>
        <v>1</v>
      </c>
      <c r="T77" s="16" t="str">
        <f aca="false">IF(AND(R77&gt;=2,R77&lt;=4,S77=1),"OK","CHECK")</f>
        <v>OK</v>
      </c>
    </row>
    <row r="78" customFormat="false" ht="15" hidden="false" customHeight="false" outlineLevel="0" collapsed="false">
      <c r="A78" s="17" t="s">
        <v>153</v>
      </c>
      <c r="B78" s="17" t="s">
        <v>34</v>
      </c>
      <c r="C78" s="17" t="n">
        <v>1</v>
      </c>
      <c r="D78" s="17" t="s">
        <v>76</v>
      </c>
      <c r="E78" s="5" t="s">
        <v>77</v>
      </c>
      <c r="F78" s="17" t="n">
        <v>4</v>
      </c>
      <c r="G78" s="17" t="s">
        <v>151</v>
      </c>
      <c r="H78" s="17" t="n">
        <v>2</v>
      </c>
      <c r="I78" s="17" t="s">
        <v>116</v>
      </c>
      <c r="J78" s="6" t="s">
        <v>154</v>
      </c>
      <c r="K78" s="5" t="s">
        <v>127</v>
      </c>
      <c r="L78" s="18" t="b">
        <f aca="false">FALSE()</f>
        <v>0</v>
      </c>
      <c r="M78" s="17"/>
      <c r="N78" s="17"/>
      <c r="O78" s="17"/>
      <c r="P78" s="17" t="s">
        <v>65</v>
      </c>
      <c r="Q78" s="5"/>
      <c r="R78" s="20" t="n">
        <f aca="false">COUNTIF($A$2:$A$2000,A78)</f>
        <v>3</v>
      </c>
      <c r="S78" s="20" t="n">
        <f aca="false">COUNTIFS($A$2:$A$2000,A78,$L$2:$L$2000,TRUE())</f>
        <v>1</v>
      </c>
      <c r="T78" s="21" t="str">
        <f aca="false">IF(AND(R78&gt;=2,R78&lt;=4,S78=1),"OK","CHECK")</f>
        <v>OK</v>
      </c>
    </row>
    <row r="79" customFormat="false" ht="15" hidden="false" customHeight="false" outlineLevel="0" collapsed="false">
      <c r="A79" s="17" t="s">
        <v>153</v>
      </c>
      <c r="B79" s="17" t="s">
        <v>34</v>
      </c>
      <c r="C79" s="17" t="n">
        <v>1</v>
      </c>
      <c r="D79" s="17" t="s">
        <v>76</v>
      </c>
      <c r="E79" s="5" t="s">
        <v>77</v>
      </c>
      <c r="F79" s="17" t="n">
        <v>4</v>
      </c>
      <c r="G79" s="17" t="s">
        <v>151</v>
      </c>
      <c r="H79" s="17" t="n">
        <v>2</v>
      </c>
      <c r="I79" s="17" t="s">
        <v>116</v>
      </c>
      <c r="J79" s="6" t="s">
        <v>154</v>
      </c>
      <c r="K79" s="5" t="s">
        <v>55</v>
      </c>
      <c r="L79" s="18" t="b">
        <f aca="false">TRUE()</f>
        <v>1</v>
      </c>
      <c r="M79" s="17"/>
      <c r="N79" s="17"/>
      <c r="O79" s="17"/>
      <c r="P79" s="17" t="s">
        <v>65</v>
      </c>
      <c r="Q79" s="5"/>
      <c r="R79" s="20" t="n">
        <f aca="false">COUNTIF($A$2:$A$2000,A79)</f>
        <v>3</v>
      </c>
      <c r="S79" s="20" t="n">
        <f aca="false">COUNTIFS($A$2:$A$2000,A79,$L$2:$L$2000,TRUE())</f>
        <v>1</v>
      </c>
      <c r="T79" s="21" t="str">
        <f aca="false">IF(AND(R79&gt;=2,R79&lt;=4,S79=1),"OK","CHECK")</f>
        <v>OK</v>
      </c>
    </row>
    <row r="80" customFormat="false" ht="15" hidden="false" customHeight="false" outlineLevel="0" collapsed="false">
      <c r="A80" s="10" t="s">
        <v>155</v>
      </c>
      <c r="B80" s="10" t="s">
        <v>34</v>
      </c>
      <c r="C80" s="10" t="n">
        <v>1</v>
      </c>
      <c r="D80" s="10" t="s">
        <v>76</v>
      </c>
      <c r="E80" s="11" t="s">
        <v>77</v>
      </c>
      <c r="F80" s="10" t="n">
        <v>4</v>
      </c>
      <c r="G80" s="10" t="s">
        <v>151</v>
      </c>
      <c r="H80" s="10" t="n">
        <v>3</v>
      </c>
      <c r="I80" s="10" t="s">
        <v>92</v>
      </c>
      <c r="J80" s="11" t="s">
        <v>93</v>
      </c>
      <c r="K80" s="12" t="s">
        <v>152</v>
      </c>
      <c r="L80" s="13" t="b">
        <f aca="false">TRUE()</f>
        <v>1</v>
      </c>
      <c r="M80" s="10"/>
      <c r="N80" s="14" t="s">
        <v>156</v>
      </c>
      <c r="O80" s="10"/>
      <c r="P80" s="10" t="s">
        <v>65</v>
      </c>
      <c r="Q80" s="11"/>
      <c r="R80" s="15" t="n">
        <f aca="false">COUNTIF($A$2:$A$2000,A80)</f>
        <v>3</v>
      </c>
      <c r="S80" s="15" t="n">
        <f aca="false">COUNTIFS($A$2:$A$2000,A80,$L$2:$L$2000,TRUE())</f>
        <v>1</v>
      </c>
      <c r="T80" s="16" t="str">
        <f aca="false">IF(AND(R80&gt;=2,R80&lt;=4,S80=1),"OK","CHECK")</f>
        <v>OK</v>
      </c>
    </row>
    <row r="81" customFormat="false" ht="15" hidden="false" customHeight="false" outlineLevel="0" collapsed="false">
      <c r="A81" s="17" t="s">
        <v>155</v>
      </c>
      <c r="B81" s="17" t="s">
        <v>34</v>
      </c>
      <c r="C81" s="17" t="n">
        <v>1</v>
      </c>
      <c r="D81" s="17" t="s">
        <v>76</v>
      </c>
      <c r="E81" s="5" t="s">
        <v>77</v>
      </c>
      <c r="F81" s="17" t="n">
        <v>4</v>
      </c>
      <c r="G81" s="17" t="s">
        <v>151</v>
      </c>
      <c r="H81" s="17" t="n">
        <v>3</v>
      </c>
      <c r="I81" s="17" t="s">
        <v>92</v>
      </c>
      <c r="J81" s="5" t="s">
        <v>93</v>
      </c>
      <c r="K81" s="6" t="s">
        <v>154</v>
      </c>
      <c r="L81" s="18" t="b">
        <f aca="false">FALSE()</f>
        <v>0</v>
      </c>
      <c r="M81" s="17"/>
      <c r="N81" s="19" t="s">
        <v>157</v>
      </c>
      <c r="O81" s="17"/>
      <c r="P81" s="17" t="s">
        <v>65</v>
      </c>
      <c r="Q81" s="5"/>
      <c r="R81" s="20" t="n">
        <f aca="false">COUNTIF($A$2:$A$2000,A81)</f>
        <v>3</v>
      </c>
      <c r="S81" s="20" t="n">
        <f aca="false">COUNTIFS($A$2:$A$2000,A81,$L$2:$L$2000,TRUE())</f>
        <v>1</v>
      </c>
      <c r="T81" s="21" t="str">
        <f aca="false">IF(AND(R81&gt;=2,R81&lt;=4,S81=1),"OK","CHECK")</f>
        <v>OK</v>
      </c>
    </row>
    <row r="82" customFormat="false" ht="15" hidden="false" customHeight="false" outlineLevel="0" collapsed="false">
      <c r="A82" s="17" t="s">
        <v>155</v>
      </c>
      <c r="B82" s="17" t="s">
        <v>34</v>
      </c>
      <c r="C82" s="17" t="n">
        <v>1</v>
      </c>
      <c r="D82" s="17" t="s">
        <v>76</v>
      </c>
      <c r="E82" s="5" t="s">
        <v>77</v>
      </c>
      <c r="F82" s="17" t="n">
        <v>4</v>
      </c>
      <c r="G82" s="17" t="s">
        <v>151</v>
      </c>
      <c r="H82" s="17" t="n">
        <v>3</v>
      </c>
      <c r="I82" s="17" t="s">
        <v>92</v>
      </c>
      <c r="J82" s="5" t="s">
        <v>93</v>
      </c>
      <c r="K82" s="6" t="s">
        <v>123</v>
      </c>
      <c r="L82" s="18" t="b">
        <f aca="false">FALSE()</f>
        <v>0</v>
      </c>
      <c r="M82" s="17"/>
      <c r="N82" s="19" t="s">
        <v>133</v>
      </c>
      <c r="O82" s="17"/>
      <c r="P82" s="17" t="s">
        <v>65</v>
      </c>
      <c r="Q82" s="5"/>
      <c r="R82" s="20" t="n">
        <f aca="false">COUNTIF($A$2:$A$2000,A82)</f>
        <v>3</v>
      </c>
      <c r="S82" s="20" t="n">
        <f aca="false">COUNTIFS($A$2:$A$2000,A82,$L$2:$L$2000,TRUE())</f>
        <v>1</v>
      </c>
      <c r="T82" s="21" t="str">
        <f aca="false">IF(AND(R82&gt;=2,R82&lt;=4,S82=1),"OK","CHECK")</f>
        <v>OK</v>
      </c>
    </row>
    <row r="83" customFormat="false" ht="15" hidden="false" customHeight="false" outlineLevel="0" collapsed="false">
      <c r="A83" s="10" t="s">
        <v>158</v>
      </c>
      <c r="B83" s="10" t="s">
        <v>34</v>
      </c>
      <c r="C83" s="10" t="n">
        <v>1</v>
      </c>
      <c r="D83" s="10" t="s">
        <v>76</v>
      </c>
      <c r="E83" s="11" t="s">
        <v>77</v>
      </c>
      <c r="F83" s="10" t="n">
        <v>4</v>
      </c>
      <c r="G83" s="10" t="s">
        <v>151</v>
      </c>
      <c r="H83" s="10" t="n">
        <v>4</v>
      </c>
      <c r="I83" s="10" t="s">
        <v>116</v>
      </c>
      <c r="J83" s="12" t="s">
        <v>159</v>
      </c>
      <c r="K83" s="11" t="s">
        <v>160</v>
      </c>
      <c r="L83" s="13" t="b">
        <f aca="false">TRUE()</f>
        <v>1</v>
      </c>
      <c r="M83" s="10"/>
      <c r="N83" s="10"/>
      <c r="O83" s="10"/>
      <c r="P83" s="10" t="s">
        <v>65</v>
      </c>
      <c r="Q83" s="11"/>
      <c r="R83" s="15" t="n">
        <f aca="false">COUNTIF($A$2:$A$2000,A83)</f>
        <v>3</v>
      </c>
      <c r="S83" s="15" t="n">
        <f aca="false">COUNTIFS($A$2:$A$2000,A83,$L$2:$L$2000,TRUE())</f>
        <v>1</v>
      </c>
      <c r="T83" s="16" t="str">
        <f aca="false">IF(AND(R83&gt;=2,R83&lt;=4,S83=1),"OK","CHECK")</f>
        <v>OK</v>
      </c>
    </row>
    <row r="84" customFormat="false" ht="15" hidden="false" customHeight="false" outlineLevel="0" collapsed="false">
      <c r="A84" s="17" t="s">
        <v>158</v>
      </c>
      <c r="B84" s="17" t="s">
        <v>34</v>
      </c>
      <c r="C84" s="17" t="n">
        <v>1</v>
      </c>
      <c r="D84" s="17" t="s">
        <v>76</v>
      </c>
      <c r="E84" s="5" t="s">
        <v>77</v>
      </c>
      <c r="F84" s="17" t="n">
        <v>4</v>
      </c>
      <c r="G84" s="17" t="s">
        <v>151</v>
      </c>
      <c r="H84" s="17" t="n">
        <v>4</v>
      </c>
      <c r="I84" s="17" t="s">
        <v>116</v>
      </c>
      <c r="J84" s="6" t="s">
        <v>159</v>
      </c>
      <c r="K84" s="5" t="s">
        <v>161</v>
      </c>
      <c r="L84" s="18" t="b">
        <f aca="false">FALSE()</f>
        <v>0</v>
      </c>
      <c r="M84" s="17"/>
      <c r="N84" s="17"/>
      <c r="O84" s="17"/>
      <c r="P84" s="17" t="s">
        <v>65</v>
      </c>
      <c r="Q84" s="5"/>
      <c r="R84" s="20" t="n">
        <f aca="false">COUNTIF($A$2:$A$2000,A84)</f>
        <v>3</v>
      </c>
      <c r="S84" s="20" t="n">
        <f aca="false">COUNTIFS($A$2:$A$2000,A84,$L$2:$L$2000,TRUE())</f>
        <v>1</v>
      </c>
      <c r="T84" s="21" t="str">
        <f aca="false">IF(AND(R84&gt;=2,R84&lt;=4,S84=1),"OK","CHECK")</f>
        <v>OK</v>
      </c>
    </row>
    <row r="85" customFormat="false" ht="15" hidden="false" customHeight="false" outlineLevel="0" collapsed="false">
      <c r="A85" s="17" t="s">
        <v>158</v>
      </c>
      <c r="B85" s="17" t="s">
        <v>34</v>
      </c>
      <c r="C85" s="17" t="n">
        <v>1</v>
      </c>
      <c r="D85" s="17" t="s">
        <v>76</v>
      </c>
      <c r="E85" s="5" t="s">
        <v>77</v>
      </c>
      <c r="F85" s="17" t="n">
        <v>4</v>
      </c>
      <c r="G85" s="17" t="s">
        <v>151</v>
      </c>
      <c r="H85" s="17" t="n">
        <v>4</v>
      </c>
      <c r="I85" s="17" t="s">
        <v>116</v>
      </c>
      <c r="J85" s="6" t="s">
        <v>159</v>
      </c>
      <c r="K85" s="5" t="s">
        <v>29</v>
      </c>
      <c r="L85" s="18" t="b">
        <f aca="false">FALSE()</f>
        <v>0</v>
      </c>
      <c r="M85" s="17"/>
      <c r="N85" s="17"/>
      <c r="O85" s="17"/>
      <c r="P85" s="17" t="s">
        <v>65</v>
      </c>
      <c r="Q85" s="5"/>
      <c r="R85" s="20" t="n">
        <f aca="false">COUNTIF($A$2:$A$2000,A85)</f>
        <v>3</v>
      </c>
      <c r="S85" s="20" t="n">
        <f aca="false">COUNTIFS($A$2:$A$2000,A85,$L$2:$L$2000,TRUE())</f>
        <v>1</v>
      </c>
      <c r="T85" s="21" t="str">
        <f aca="false">IF(AND(R85&gt;=2,R85&lt;=4,S85=1),"OK","CHECK")</f>
        <v>OK</v>
      </c>
    </row>
    <row r="86" customFormat="false" ht="15" hidden="false" customHeight="false" outlineLevel="0" collapsed="false">
      <c r="A86" s="10" t="s">
        <v>162</v>
      </c>
      <c r="B86" s="10" t="s">
        <v>34</v>
      </c>
      <c r="C86" s="10" t="n">
        <v>1</v>
      </c>
      <c r="D86" s="10" t="s">
        <v>76</v>
      </c>
      <c r="E86" s="11" t="s">
        <v>77</v>
      </c>
      <c r="F86" s="10" t="n">
        <v>4</v>
      </c>
      <c r="G86" s="10" t="s">
        <v>151</v>
      </c>
      <c r="H86" s="10" t="n">
        <v>5</v>
      </c>
      <c r="I86" s="10" t="s">
        <v>116</v>
      </c>
      <c r="J86" s="12" t="s">
        <v>163</v>
      </c>
      <c r="K86" s="11" t="s">
        <v>164</v>
      </c>
      <c r="L86" s="13" t="b">
        <f aca="false">FALSE()</f>
        <v>0</v>
      </c>
      <c r="M86" s="10"/>
      <c r="N86" s="10"/>
      <c r="O86" s="10"/>
      <c r="P86" s="10" t="s">
        <v>65</v>
      </c>
      <c r="Q86" s="11"/>
      <c r="R86" s="15" t="n">
        <f aca="false">COUNTIF($A$2:$A$2000,A86)</f>
        <v>3</v>
      </c>
      <c r="S86" s="15" t="n">
        <f aca="false">COUNTIFS($A$2:$A$2000,A86,$L$2:$L$2000,TRUE())</f>
        <v>1</v>
      </c>
      <c r="T86" s="16" t="str">
        <f aca="false">IF(AND(R86&gt;=2,R86&lt;=4,S86=1),"OK","CHECK")</f>
        <v>OK</v>
      </c>
    </row>
    <row r="87" customFormat="false" ht="15" hidden="false" customHeight="false" outlineLevel="0" collapsed="false">
      <c r="A87" s="17" t="s">
        <v>162</v>
      </c>
      <c r="B87" s="17" t="s">
        <v>34</v>
      </c>
      <c r="C87" s="17" t="n">
        <v>1</v>
      </c>
      <c r="D87" s="17" t="s">
        <v>76</v>
      </c>
      <c r="E87" s="5" t="s">
        <v>77</v>
      </c>
      <c r="F87" s="17" t="n">
        <v>4</v>
      </c>
      <c r="G87" s="17" t="s">
        <v>151</v>
      </c>
      <c r="H87" s="17" t="n">
        <v>5</v>
      </c>
      <c r="I87" s="17" t="s">
        <v>116</v>
      </c>
      <c r="J87" s="6" t="s">
        <v>163</v>
      </c>
      <c r="K87" s="5" t="s">
        <v>165</v>
      </c>
      <c r="L87" s="18" t="b">
        <f aca="false">TRUE()</f>
        <v>1</v>
      </c>
      <c r="M87" s="17"/>
      <c r="N87" s="17"/>
      <c r="O87" s="17"/>
      <c r="P87" s="17" t="s">
        <v>65</v>
      </c>
      <c r="Q87" s="5"/>
      <c r="R87" s="20" t="n">
        <f aca="false">COUNTIF($A$2:$A$2000,A87)</f>
        <v>3</v>
      </c>
      <c r="S87" s="20" t="n">
        <f aca="false">COUNTIFS($A$2:$A$2000,A87,$L$2:$L$2000,TRUE())</f>
        <v>1</v>
      </c>
      <c r="T87" s="21" t="str">
        <f aca="false">IF(AND(R87&gt;=2,R87&lt;=4,S87=1),"OK","CHECK")</f>
        <v>OK</v>
      </c>
    </row>
    <row r="88" customFormat="false" ht="15" hidden="false" customHeight="false" outlineLevel="0" collapsed="false">
      <c r="A88" s="17" t="s">
        <v>162</v>
      </c>
      <c r="B88" s="17" t="s">
        <v>34</v>
      </c>
      <c r="C88" s="17" t="n">
        <v>1</v>
      </c>
      <c r="D88" s="17" t="s">
        <v>76</v>
      </c>
      <c r="E88" s="5" t="s">
        <v>77</v>
      </c>
      <c r="F88" s="17" t="n">
        <v>4</v>
      </c>
      <c r="G88" s="17" t="s">
        <v>151</v>
      </c>
      <c r="H88" s="17" t="n">
        <v>5</v>
      </c>
      <c r="I88" s="17" t="s">
        <v>116</v>
      </c>
      <c r="J88" s="6" t="s">
        <v>163</v>
      </c>
      <c r="K88" s="5" t="s">
        <v>166</v>
      </c>
      <c r="L88" s="18" t="b">
        <f aca="false">FALSE()</f>
        <v>0</v>
      </c>
      <c r="M88" s="17"/>
      <c r="N88" s="17"/>
      <c r="O88" s="17"/>
      <c r="P88" s="17" t="s">
        <v>65</v>
      </c>
      <c r="Q88" s="5"/>
      <c r="R88" s="20" t="n">
        <f aca="false">COUNTIF($A$2:$A$2000,A88)</f>
        <v>3</v>
      </c>
      <c r="S88" s="20" t="n">
        <f aca="false">COUNTIFS($A$2:$A$2000,A88,$L$2:$L$2000,TRUE())</f>
        <v>1</v>
      </c>
      <c r="T88" s="21" t="str">
        <f aca="false">IF(AND(R88&gt;=2,R88&lt;=4,S88=1),"OK","CHECK")</f>
        <v>OK</v>
      </c>
    </row>
    <row r="89" customFormat="false" ht="15" hidden="false" customHeight="false" outlineLevel="0" collapsed="false">
      <c r="A89" s="10" t="s">
        <v>167</v>
      </c>
      <c r="B89" s="10" t="s">
        <v>34</v>
      </c>
      <c r="C89" s="10" t="n">
        <v>1</v>
      </c>
      <c r="D89" s="10" t="s">
        <v>76</v>
      </c>
      <c r="E89" s="11" t="s">
        <v>77</v>
      </c>
      <c r="F89" s="10" t="n">
        <v>4</v>
      </c>
      <c r="G89" s="10" t="s">
        <v>151</v>
      </c>
      <c r="H89" s="10" t="n">
        <v>6</v>
      </c>
      <c r="I89" s="10" t="s">
        <v>45</v>
      </c>
      <c r="J89" s="11" t="s">
        <v>168</v>
      </c>
      <c r="K89" s="12" t="s">
        <v>163</v>
      </c>
      <c r="L89" s="13" t="b">
        <f aca="false">FALSE()</f>
        <v>0</v>
      </c>
      <c r="M89" s="10"/>
      <c r="N89" s="14" t="s">
        <v>169</v>
      </c>
      <c r="O89" s="10"/>
      <c r="P89" s="10" t="s">
        <v>65</v>
      </c>
      <c r="Q89" s="12" t="s">
        <v>170</v>
      </c>
      <c r="R89" s="15" t="n">
        <f aca="false">COUNTIF($A$2:$A$2000,A89)</f>
        <v>3</v>
      </c>
      <c r="S89" s="15" t="n">
        <f aca="false">COUNTIFS($A$2:$A$2000,A89,$L$2:$L$2000,TRUE())</f>
        <v>1</v>
      </c>
      <c r="T89" s="16" t="str">
        <f aca="false">IF(AND(R89&gt;=2,R89&lt;=4,S89=1),"OK","CHECK")</f>
        <v>OK</v>
      </c>
    </row>
    <row r="90" customFormat="false" ht="15" hidden="false" customHeight="false" outlineLevel="0" collapsed="false">
      <c r="A90" s="17" t="s">
        <v>167</v>
      </c>
      <c r="B90" s="17" t="s">
        <v>34</v>
      </c>
      <c r="C90" s="17" t="n">
        <v>1</v>
      </c>
      <c r="D90" s="17" t="s">
        <v>76</v>
      </c>
      <c r="E90" s="5" t="s">
        <v>77</v>
      </c>
      <c r="F90" s="17" t="n">
        <v>4</v>
      </c>
      <c r="G90" s="17" t="s">
        <v>151</v>
      </c>
      <c r="H90" s="17" t="n">
        <v>6</v>
      </c>
      <c r="I90" s="17" t="s">
        <v>45</v>
      </c>
      <c r="J90" s="5" t="s">
        <v>168</v>
      </c>
      <c r="K90" s="6" t="s">
        <v>171</v>
      </c>
      <c r="L90" s="18" t="b">
        <f aca="false">TRUE()</f>
        <v>1</v>
      </c>
      <c r="M90" s="17"/>
      <c r="N90" s="19" t="s">
        <v>172</v>
      </c>
      <c r="O90" s="17"/>
      <c r="P90" s="17" t="s">
        <v>65</v>
      </c>
      <c r="Q90" s="5"/>
      <c r="R90" s="20" t="n">
        <f aca="false">COUNTIF($A$2:$A$2000,A90)</f>
        <v>3</v>
      </c>
      <c r="S90" s="20" t="n">
        <f aca="false">COUNTIFS($A$2:$A$2000,A90,$L$2:$L$2000,TRUE())</f>
        <v>1</v>
      </c>
      <c r="T90" s="21" t="str">
        <f aca="false">IF(AND(R90&gt;=2,R90&lt;=4,S90=1),"OK","CHECK")</f>
        <v>OK</v>
      </c>
    </row>
    <row r="91" customFormat="false" ht="15" hidden="false" customHeight="false" outlineLevel="0" collapsed="false">
      <c r="A91" s="17" t="s">
        <v>167</v>
      </c>
      <c r="B91" s="17" t="s">
        <v>34</v>
      </c>
      <c r="C91" s="17" t="n">
        <v>1</v>
      </c>
      <c r="D91" s="17" t="s">
        <v>76</v>
      </c>
      <c r="E91" s="5" t="s">
        <v>77</v>
      </c>
      <c r="F91" s="17" t="n">
        <v>4</v>
      </c>
      <c r="G91" s="17" t="s">
        <v>151</v>
      </c>
      <c r="H91" s="17" t="n">
        <v>6</v>
      </c>
      <c r="I91" s="17" t="s">
        <v>45</v>
      </c>
      <c r="J91" s="5" t="s">
        <v>168</v>
      </c>
      <c r="K91" s="6" t="s">
        <v>129</v>
      </c>
      <c r="L91" s="18" t="b">
        <f aca="false">FALSE()</f>
        <v>0</v>
      </c>
      <c r="M91" s="17"/>
      <c r="N91" s="19" t="s">
        <v>136</v>
      </c>
      <c r="O91" s="17"/>
      <c r="P91" s="17" t="s">
        <v>65</v>
      </c>
      <c r="Q91" s="5"/>
      <c r="R91" s="20" t="n">
        <f aca="false">COUNTIF($A$2:$A$2000,A91)</f>
        <v>3</v>
      </c>
      <c r="S91" s="20" t="n">
        <f aca="false">COUNTIFS($A$2:$A$2000,A91,$L$2:$L$2000,TRUE())</f>
        <v>1</v>
      </c>
      <c r="T91" s="21" t="str">
        <f aca="false">IF(AND(R91&gt;=2,R91&lt;=4,S91=1),"OK","CHECK")</f>
        <v>OK</v>
      </c>
    </row>
    <row r="92" customFormat="false" ht="15" hidden="false" customHeight="false" outlineLevel="0" collapsed="false">
      <c r="A92" s="10" t="s">
        <v>173</v>
      </c>
      <c r="B92" s="10" t="s">
        <v>34</v>
      </c>
      <c r="C92" s="10" t="n">
        <v>1</v>
      </c>
      <c r="D92" s="10" t="s">
        <v>76</v>
      </c>
      <c r="E92" s="11" t="s">
        <v>77</v>
      </c>
      <c r="F92" s="10" t="n">
        <v>4</v>
      </c>
      <c r="G92" s="10" t="s">
        <v>151</v>
      </c>
      <c r="H92" s="10" t="n">
        <v>7</v>
      </c>
      <c r="I92" s="10" t="s">
        <v>116</v>
      </c>
      <c r="J92" s="12" t="s">
        <v>171</v>
      </c>
      <c r="K92" s="11" t="s">
        <v>174</v>
      </c>
      <c r="L92" s="13" t="b">
        <f aca="false">TRUE()</f>
        <v>1</v>
      </c>
      <c r="M92" s="10"/>
      <c r="N92" s="10"/>
      <c r="O92" s="10"/>
      <c r="P92" s="10" t="s">
        <v>65</v>
      </c>
      <c r="Q92" s="11"/>
      <c r="R92" s="15" t="n">
        <f aca="false">COUNTIF($A$2:$A$2000,A92)</f>
        <v>3</v>
      </c>
      <c r="S92" s="15" t="n">
        <f aca="false">COUNTIFS($A$2:$A$2000,A92,$L$2:$L$2000,TRUE())</f>
        <v>1</v>
      </c>
      <c r="T92" s="16" t="str">
        <f aca="false">IF(AND(R92&gt;=2,R92&lt;=4,S92=1),"OK","CHECK")</f>
        <v>OK</v>
      </c>
    </row>
    <row r="93" customFormat="false" ht="15" hidden="false" customHeight="false" outlineLevel="0" collapsed="false">
      <c r="A93" s="17" t="s">
        <v>173</v>
      </c>
      <c r="B93" s="17" t="s">
        <v>34</v>
      </c>
      <c r="C93" s="17" t="n">
        <v>1</v>
      </c>
      <c r="D93" s="17" t="s">
        <v>76</v>
      </c>
      <c r="E93" s="5" t="s">
        <v>77</v>
      </c>
      <c r="F93" s="17" t="n">
        <v>4</v>
      </c>
      <c r="G93" s="17" t="s">
        <v>151</v>
      </c>
      <c r="H93" s="17" t="n">
        <v>7</v>
      </c>
      <c r="I93" s="17" t="s">
        <v>116</v>
      </c>
      <c r="J93" s="6" t="s">
        <v>171</v>
      </c>
      <c r="K93" s="5" t="s">
        <v>175</v>
      </c>
      <c r="L93" s="18" t="b">
        <f aca="false">FALSE()</f>
        <v>0</v>
      </c>
      <c r="M93" s="17"/>
      <c r="N93" s="17"/>
      <c r="O93" s="17"/>
      <c r="P93" s="17" t="s">
        <v>65</v>
      </c>
      <c r="Q93" s="5"/>
      <c r="R93" s="20" t="n">
        <f aca="false">COUNTIF($A$2:$A$2000,A93)</f>
        <v>3</v>
      </c>
      <c r="S93" s="20" t="n">
        <f aca="false">COUNTIFS($A$2:$A$2000,A93,$L$2:$L$2000,TRUE())</f>
        <v>1</v>
      </c>
      <c r="T93" s="21" t="str">
        <f aca="false">IF(AND(R93&gt;=2,R93&lt;=4,S93=1),"OK","CHECK")</f>
        <v>OK</v>
      </c>
    </row>
    <row r="94" customFormat="false" ht="15" hidden="false" customHeight="false" outlineLevel="0" collapsed="false">
      <c r="A94" s="17" t="s">
        <v>173</v>
      </c>
      <c r="B94" s="17" t="s">
        <v>34</v>
      </c>
      <c r="C94" s="17" t="n">
        <v>1</v>
      </c>
      <c r="D94" s="17" t="s">
        <v>76</v>
      </c>
      <c r="E94" s="5" t="s">
        <v>77</v>
      </c>
      <c r="F94" s="17" t="n">
        <v>4</v>
      </c>
      <c r="G94" s="17" t="s">
        <v>151</v>
      </c>
      <c r="H94" s="17" t="n">
        <v>7</v>
      </c>
      <c r="I94" s="17" t="s">
        <v>116</v>
      </c>
      <c r="J94" s="6" t="s">
        <v>171</v>
      </c>
      <c r="K94" s="5" t="s">
        <v>176</v>
      </c>
      <c r="L94" s="18" t="b">
        <f aca="false">FALSE()</f>
        <v>0</v>
      </c>
      <c r="M94" s="17"/>
      <c r="N94" s="17"/>
      <c r="O94" s="17"/>
      <c r="P94" s="17" t="s">
        <v>65</v>
      </c>
      <c r="Q94" s="5"/>
      <c r="R94" s="20" t="n">
        <f aca="false">COUNTIF($A$2:$A$2000,A94)</f>
        <v>3</v>
      </c>
      <c r="S94" s="20" t="n">
        <f aca="false">COUNTIFS($A$2:$A$2000,A94,$L$2:$L$2000,TRUE())</f>
        <v>1</v>
      </c>
      <c r="T94" s="21" t="str">
        <f aca="false">IF(AND(R94&gt;=2,R94&lt;=4,S94=1),"OK","CHECK")</f>
        <v>OK</v>
      </c>
    </row>
    <row r="95" customFormat="false" ht="15" hidden="false" customHeight="false" outlineLevel="0" collapsed="false">
      <c r="A95" s="10" t="s">
        <v>177</v>
      </c>
      <c r="B95" s="10" t="s">
        <v>34</v>
      </c>
      <c r="C95" s="10" t="n">
        <v>1</v>
      </c>
      <c r="D95" s="10" t="s">
        <v>76</v>
      </c>
      <c r="E95" s="11" t="s">
        <v>77</v>
      </c>
      <c r="F95" s="10" t="n">
        <v>4</v>
      </c>
      <c r="G95" s="10" t="s">
        <v>151</v>
      </c>
      <c r="H95" s="10" t="n">
        <v>8</v>
      </c>
      <c r="I95" s="10" t="s">
        <v>92</v>
      </c>
      <c r="J95" s="11" t="s">
        <v>93</v>
      </c>
      <c r="K95" s="12" t="s">
        <v>163</v>
      </c>
      <c r="L95" s="13" t="b">
        <f aca="false">TRUE()</f>
        <v>1</v>
      </c>
      <c r="M95" s="10"/>
      <c r="N95" s="14" t="s">
        <v>169</v>
      </c>
      <c r="O95" s="10"/>
      <c r="P95" s="10" t="s">
        <v>65</v>
      </c>
      <c r="Q95" s="11"/>
      <c r="R95" s="15" t="n">
        <f aca="false">COUNTIF($A$2:$A$2000,A95)</f>
        <v>3</v>
      </c>
      <c r="S95" s="15" t="n">
        <f aca="false">COUNTIFS($A$2:$A$2000,A95,$L$2:$L$2000,TRUE())</f>
        <v>1</v>
      </c>
      <c r="T95" s="16" t="str">
        <f aca="false">IF(AND(R95&gt;=2,R95&lt;=4,S95=1),"OK","CHECK")</f>
        <v>OK</v>
      </c>
    </row>
    <row r="96" customFormat="false" ht="15" hidden="false" customHeight="false" outlineLevel="0" collapsed="false">
      <c r="A96" s="17" t="s">
        <v>177</v>
      </c>
      <c r="B96" s="17" t="s">
        <v>34</v>
      </c>
      <c r="C96" s="17" t="n">
        <v>1</v>
      </c>
      <c r="D96" s="17" t="s">
        <v>76</v>
      </c>
      <c r="E96" s="5" t="s">
        <v>77</v>
      </c>
      <c r="F96" s="17" t="n">
        <v>4</v>
      </c>
      <c r="G96" s="17" t="s">
        <v>151</v>
      </c>
      <c r="H96" s="17" t="n">
        <v>8</v>
      </c>
      <c r="I96" s="17" t="s">
        <v>92</v>
      </c>
      <c r="J96" s="5" t="s">
        <v>93</v>
      </c>
      <c r="K96" s="6" t="s">
        <v>152</v>
      </c>
      <c r="L96" s="18" t="b">
        <f aca="false">FALSE()</f>
        <v>0</v>
      </c>
      <c r="M96" s="17"/>
      <c r="N96" s="19" t="s">
        <v>156</v>
      </c>
      <c r="O96" s="17"/>
      <c r="P96" s="17" t="s">
        <v>65</v>
      </c>
      <c r="Q96" s="5"/>
      <c r="R96" s="20" t="n">
        <f aca="false">COUNTIF($A$2:$A$2000,A96)</f>
        <v>3</v>
      </c>
      <c r="S96" s="20" t="n">
        <f aca="false">COUNTIFS($A$2:$A$2000,A96,$L$2:$L$2000,TRUE())</f>
        <v>1</v>
      </c>
      <c r="T96" s="21" t="str">
        <f aca="false">IF(AND(R96&gt;=2,R96&lt;=4,S96=1),"OK","CHECK")</f>
        <v>OK</v>
      </c>
    </row>
    <row r="97" customFormat="false" ht="15" hidden="false" customHeight="false" outlineLevel="0" collapsed="false">
      <c r="A97" s="17" t="s">
        <v>177</v>
      </c>
      <c r="B97" s="17" t="s">
        <v>34</v>
      </c>
      <c r="C97" s="17" t="n">
        <v>1</v>
      </c>
      <c r="D97" s="17" t="s">
        <v>76</v>
      </c>
      <c r="E97" s="5" t="s">
        <v>77</v>
      </c>
      <c r="F97" s="17" t="n">
        <v>4</v>
      </c>
      <c r="G97" s="17" t="s">
        <v>151</v>
      </c>
      <c r="H97" s="17" t="n">
        <v>8</v>
      </c>
      <c r="I97" s="17" t="s">
        <v>92</v>
      </c>
      <c r="J97" s="5" t="s">
        <v>93</v>
      </c>
      <c r="K97" s="6" t="s">
        <v>134</v>
      </c>
      <c r="L97" s="18" t="b">
        <f aca="false">FALSE()</f>
        <v>0</v>
      </c>
      <c r="M97" s="17"/>
      <c r="N97" s="19" t="s">
        <v>135</v>
      </c>
      <c r="O97" s="17"/>
      <c r="P97" s="17" t="s">
        <v>65</v>
      </c>
      <c r="Q97" s="5"/>
      <c r="R97" s="20" t="n">
        <f aca="false">COUNTIF($A$2:$A$2000,A97)</f>
        <v>3</v>
      </c>
      <c r="S97" s="20" t="n">
        <f aca="false">COUNTIFS($A$2:$A$2000,A97,$L$2:$L$2000,TRUE())</f>
        <v>1</v>
      </c>
      <c r="T97" s="21" t="str">
        <f aca="false">IF(AND(R97&gt;=2,R97&lt;=4,S97=1),"OK","CHECK")</f>
        <v>OK</v>
      </c>
    </row>
    <row r="98" customFormat="false" ht="15" hidden="false" customHeight="false" outlineLevel="0" collapsed="false">
      <c r="A98" s="10" t="s">
        <v>178</v>
      </c>
      <c r="B98" s="10" t="s">
        <v>34</v>
      </c>
      <c r="C98" s="10" t="n">
        <v>1</v>
      </c>
      <c r="D98" s="10" t="s">
        <v>76</v>
      </c>
      <c r="E98" s="11" t="s">
        <v>77</v>
      </c>
      <c r="F98" s="10" t="n">
        <v>5</v>
      </c>
      <c r="G98" s="10" t="s">
        <v>179</v>
      </c>
      <c r="H98" s="10" t="n">
        <v>1</v>
      </c>
      <c r="I98" s="10" t="s">
        <v>116</v>
      </c>
      <c r="J98" s="12" t="s">
        <v>180</v>
      </c>
      <c r="K98" s="11" t="s">
        <v>181</v>
      </c>
      <c r="L98" s="13" t="b">
        <f aca="false">FALSE()</f>
        <v>0</v>
      </c>
      <c r="M98" s="10"/>
      <c r="N98" s="10"/>
      <c r="O98" s="10"/>
      <c r="P98" s="10" t="s">
        <v>65</v>
      </c>
      <c r="Q98" s="11"/>
      <c r="R98" s="15" t="n">
        <f aca="false">COUNTIF($A$2:$A$2000,A98)</f>
        <v>3</v>
      </c>
      <c r="S98" s="15" t="n">
        <f aca="false">COUNTIFS($A$2:$A$2000,A98,$L$2:$L$2000,TRUE())</f>
        <v>1</v>
      </c>
      <c r="T98" s="16" t="str">
        <f aca="false">IF(AND(R98&gt;=2,R98&lt;=4,S98=1),"OK","CHECK")</f>
        <v>OK</v>
      </c>
    </row>
    <row r="99" customFormat="false" ht="15" hidden="false" customHeight="false" outlineLevel="0" collapsed="false">
      <c r="A99" s="17" t="s">
        <v>178</v>
      </c>
      <c r="B99" s="17" t="s">
        <v>34</v>
      </c>
      <c r="C99" s="17" t="n">
        <v>1</v>
      </c>
      <c r="D99" s="17" t="s">
        <v>76</v>
      </c>
      <c r="E99" s="5" t="s">
        <v>77</v>
      </c>
      <c r="F99" s="17" t="n">
        <v>5</v>
      </c>
      <c r="G99" s="17" t="s">
        <v>179</v>
      </c>
      <c r="H99" s="17" t="n">
        <v>1</v>
      </c>
      <c r="I99" s="17" t="s">
        <v>116</v>
      </c>
      <c r="J99" s="6" t="s">
        <v>180</v>
      </c>
      <c r="K99" s="5" t="s">
        <v>182</v>
      </c>
      <c r="L99" s="18" t="b">
        <f aca="false">TRUE()</f>
        <v>1</v>
      </c>
      <c r="M99" s="17"/>
      <c r="N99" s="17"/>
      <c r="O99" s="17"/>
      <c r="P99" s="17" t="s">
        <v>65</v>
      </c>
      <c r="Q99" s="5"/>
      <c r="R99" s="20" t="n">
        <f aca="false">COUNTIF($A$2:$A$2000,A99)</f>
        <v>3</v>
      </c>
      <c r="S99" s="20" t="n">
        <f aca="false">COUNTIFS($A$2:$A$2000,A99,$L$2:$L$2000,TRUE())</f>
        <v>1</v>
      </c>
      <c r="T99" s="21" t="str">
        <f aca="false">IF(AND(R99&gt;=2,R99&lt;=4,S99=1),"OK","CHECK")</f>
        <v>OK</v>
      </c>
    </row>
    <row r="100" customFormat="false" ht="15" hidden="false" customHeight="false" outlineLevel="0" collapsed="false">
      <c r="A100" s="17" t="s">
        <v>178</v>
      </c>
      <c r="B100" s="17" t="s">
        <v>34</v>
      </c>
      <c r="C100" s="17" t="n">
        <v>1</v>
      </c>
      <c r="D100" s="17" t="s">
        <v>76</v>
      </c>
      <c r="E100" s="5" t="s">
        <v>77</v>
      </c>
      <c r="F100" s="17" t="n">
        <v>5</v>
      </c>
      <c r="G100" s="17" t="s">
        <v>179</v>
      </c>
      <c r="H100" s="17" t="n">
        <v>1</v>
      </c>
      <c r="I100" s="17" t="s">
        <v>116</v>
      </c>
      <c r="J100" s="6" t="s">
        <v>180</v>
      </c>
      <c r="K100" s="5" t="s">
        <v>183</v>
      </c>
      <c r="L100" s="18" t="b">
        <f aca="false">FALSE()</f>
        <v>0</v>
      </c>
      <c r="M100" s="17"/>
      <c r="N100" s="17"/>
      <c r="O100" s="17"/>
      <c r="P100" s="17" t="s">
        <v>65</v>
      </c>
      <c r="Q100" s="5"/>
      <c r="R100" s="20" t="n">
        <f aca="false">COUNTIF($A$2:$A$2000,A100)</f>
        <v>3</v>
      </c>
      <c r="S100" s="20" t="n">
        <f aca="false">COUNTIFS($A$2:$A$2000,A100,$L$2:$L$2000,TRUE())</f>
        <v>1</v>
      </c>
      <c r="T100" s="21" t="str">
        <f aca="false">IF(AND(R100&gt;=2,R100&lt;=4,S100=1),"OK","CHECK")</f>
        <v>OK</v>
      </c>
    </row>
    <row r="101" customFormat="false" ht="15" hidden="false" customHeight="false" outlineLevel="0" collapsed="false">
      <c r="A101" s="10" t="s">
        <v>184</v>
      </c>
      <c r="B101" s="10" t="s">
        <v>34</v>
      </c>
      <c r="C101" s="10" t="n">
        <v>1</v>
      </c>
      <c r="D101" s="10" t="s">
        <v>76</v>
      </c>
      <c r="E101" s="11" t="s">
        <v>77</v>
      </c>
      <c r="F101" s="10" t="n">
        <v>5</v>
      </c>
      <c r="G101" s="10" t="s">
        <v>179</v>
      </c>
      <c r="H101" s="10" t="n">
        <v>2</v>
      </c>
      <c r="I101" s="10" t="s">
        <v>116</v>
      </c>
      <c r="J101" s="12" t="s">
        <v>185</v>
      </c>
      <c r="K101" s="11" t="s">
        <v>182</v>
      </c>
      <c r="L101" s="13" t="b">
        <f aca="false">FALSE()</f>
        <v>0</v>
      </c>
      <c r="M101" s="10"/>
      <c r="N101" s="10"/>
      <c r="O101" s="10"/>
      <c r="P101" s="10" t="s">
        <v>65</v>
      </c>
      <c r="Q101" s="11"/>
      <c r="R101" s="15" t="n">
        <f aca="false">COUNTIF($A$2:$A$2000,A101)</f>
        <v>3</v>
      </c>
      <c r="S101" s="15" t="n">
        <f aca="false">COUNTIFS($A$2:$A$2000,A101,$L$2:$L$2000,TRUE())</f>
        <v>1</v>
      </c>
      <c r="T101" s="16" t="str">
        <f aca="false">IF(AND(R101&gt;=2,R101&lt;=4,S101=1),"OK","CHECK")</f>
        <v>OK</v>
      </c>
    </row>
    <row r="102" customFormat="false" ht="15" hidden="false" customHeight="false" outlineLevel="0" collapsed="false">
      <c r="A102" s="17" t="s">
        <v>184</v>
      </c>
      <c r="B102" s="17" t="s">
        <v>34</v>
      </c>
      <c r="C102" s="17" t="n">
        <v>1</v>
      </c>
      <c r="D102" s="17" t="s">
        <v>76</v>
      </c>
      <c r="E102" s="5" t="s">
        <v>77</v>
      </c>
      <c r="F102" s="17" t="n">
        <v>5</v>
      </c>
      <c r="G102" s="17" t="s">
        <v>179</v>
      </c>
      <c r="H102" s="17" t="n">
        <v>2</v>
      </c>
      <c r="I102" s="17" t="s">
        <v>116</v>
      </c>
      <c r="J102" s="6" t="s">
        <v>185</v>
      </c>
      <c r="K102" s="5" t="s">
        <v>181</v>
      </c>
      <c r="L102" s="18" t="b">
        <f aca="false">TRUE()</f>
        <v>1</v>
      </c>
      <c r="M102" s="17"/>
      <c r="N102" s="17"/>
      <c r="O102" s="17"/>
      <c r="P102" s="17" t="s">
        <v>65</v>
      </c>
      <c r="Q102" s="5"/>
      <c r="R102" s="20" t="n">
        <f aca="false">COUNTIF($A$2:$A$2000,A102)</f>
        <v>3</v>
      </c>
      <c r="S102" s="20" t="n">
        <f aca="false">COUNTIFS($A$2:$A$2000,A102,$L$2:$L$2000,TRUE())</f>
        <v>1</v>
      </c>
      <c r="T102" s="21" t="str">
        <f aca="false">IF(AND(R102&gt;=2,R102&lt;=4,S102=1),"OK","CHECK")</f>
        <v>OK</v>
      </c>
    </row>
    <row r="103" customFormat="false" ht="15" hidden="false" customHeight="false" outlineLevel="0" collapsed="false">
      <c r="A103" s="17" t="s">
        <v>184</v>
      </c>
      <c r="B103" s="17" t="s">
        <v>34</v>
      </c>
      <c r="C103" s="17" t="n">
        <v>1</v>
      </c>
      <c r="D103" s="17" t="s">
        <v>76</v>
      </c>
      <c r="E103" s="5" t="s">
        <v>77</v>
      </c>
      <c r="F103" s="17" t="n">
        <v>5</v>
      </c>
      <c r="G103" s="17" t="s">
        <v>179</v>
      </c>
      <c r="H103" s="17" t="n">
        <v>2</v>
      </c>
      <c r="I103" s="17" t="s">
        <v>116</v>
      </c>
      <c r="J103" s="6" t="s">
        <v>185</v>
      </c>
      <c r="K103" s="5" t="s">
        <v>186</v>
      </c>
      <c r="L103" s="18" t="b">
        <f aca="false">FALSE()</f>
        <v>0</v>
      </c>
      <c r="M103" s="17"/>
      <c r="N103" s="17"/>
      <c r="O103" s="17"/>
      <c r="P103" s="17" t="s">
        <v>65</v>
      </c>
      <c r="Q103" s="5"/>
      <c r="R103" s="20" t="n">
        <f aca="false">COUNTIF($A$2:$A$2000,A103)</f>
        <v>3</v>
      </c>
      <c r="S103" s="20" t="n">
        <f aca="false">COUNTIFS($A$2:$A$2000,A103,$L$2:$L$2000,TRUE())</f>
        <v>1</v>
      </c>
      <c r="T103" s="21" t="str">
        <f aca="false">IF(AND(R103&gt;=2,R103&lt;=4,S103=1),"OK","CHECK")</f>
        <v>OK</v>
      </c>
    </row>
    <row r="104" customFormat="false" ht="15" hidden="false" customHeight="false" outlineLevel="0" collapsed="false">
      <c r="A104" s="10" t="s">
        <v>187</v>
      </c>
      <c r="B104" s="10" t="s">
        <v>34</v>
      </c>
      <c r="C104" s="10" t="n">
        <v>1</v>
      </c>
      <c r="D104" s="10" t="s">
        <v>76</v>
      </c>
      <c r="E104" s="11" t="s">
        <v>77</v>
      </c>
      <c r="F104" s="10" t="n">
        <v>5</v>
      </c>
      <c r="G104" s="10" t="s">
        <v>179</v>
      </c>
      <c r="H104" s="10" t="n">
        <v>3</v>
      </c>
      <c r="I104" s="10" t="s">
        <v>116</v>
      </c>
      <c r="J104" s="12" t="s">
        <v>188</v>
      </c>
      <c r="K104" s="11" t="s">
        <v>189</v>
      </c>
      <c r="L104" s="13" t="b">
        <f aca="false">FALSE()</f>
        <v>0</v>
      </c>
      <c r="M104" s="10"/>
      <c r="N104" s="10"/>
      <c r="O104" s="10"/>
      <c r="P104" s="10" t="s">
        <v>65</v>
      </c>
      <c r="Q104" s="11"/>
      <c r="R104" s="15" t="n">
        <f aca="false">COUNTIF($A$2:$A$2000,A104)</f>
        <v>3</v>
      </c>
      <c r="S104" s="15" t="n">
        <f aca="false">COUNTIFS($A$2:$A$2000,A104,$L$2:$L$2000,TRUE())</f>
        <v>1</v>
      </c>
      <c r="T104" s="16" t="str">
        <f aca="false">IF(AND(R104&gt;=2,R104&lt;=4,S104=1),"OK","CHECK")</f>
        <v>OK</v>
      </c>
    </row>
    <row r="105" customFormat="false" ht="15" hidden="false" customHeight="false" outlineLevel="0" collapsed="false">
      <c r="A105" s="17" t="s">
        <v>187</v>
      </c>
      <c r="B105" s="17" t="s">
        <v>34</v>
      </c>
      <c r="C105" s="17" t="n">
        <v>1</v>
      </c>
      <c r="D105" s="17" t="s">
        <v>76</v>
      </c>
      <c r="E105" s="5" t="s">
        <v>77</v>
      </c>
      <c r="F105" s="17" t="n">
        <v>5</v>
      </c>
      <c r="G105" s="17" t="s">
        <v>179</v>
      </c>
      <c r="H105" s="17" t="n">
        <v>3</v>
      </c>
      <c r="I105" s="17" t="s">
        <v>116</v>
      </c>
      <c r="J105" s="6" t="s">
        <v>188</v>
      </c>
      <c r="K105" s="5" t="s">
        <v>186</v>
      </c>
      <c r="L105" s="18" t="b">
        <f aca="false">FALSE()</f>
        <v>0</v>
      </c>
      <c r="M105" s="17"/>
      <c r="N105" s="17"/>
      <c r="O105" s="17"/>
      <c r="P105" s="17" t="s">
        <v>65</v>
      </c>
      <c r="Q105" s="5"/>
      <c r="R105" s="20" t="n">
        <f aca="false">COUNTIF($A$2:$A$2000,A105)</f>
        <v>3</v>
      </c>
      <c r="S105" s="20" t="n">
        <f aca="false">COUNTIFS($A$2:$A$2000,A105,$L$2:$L$2000,TRUE())</f>
        <v>1</v>
      </c>
      <c r="T105" s="21" t="str">
        <f aca="false">IF(AND(R105&gt;=2,R105&lt;=4,S105=1),"OK","CHECK")</f>
        <v>OK</v>
      </c>
    </row>
    <row r="106" customFormat="false" ht="15" hidden="false" customHeight="false" outlineLevel="0" collapsed="false">
      <c r="A106" s="17" t="s">
        <v>187</v>
      </c>
      <c r="B106" s="17" t="s">
        <v>34</v>
      </c>
      <c r="C106" s="17" t="n">
        <v>1</v>
      </c>
      <c r="D106" s="17" t="s">
        <v>76</v>
      </c>
      <c r="E106" s="5" t="s">
        <v>77</v>
      </c>
      <c r="F106" s="17" t="n">
        <v>5</v>
      </c>
      <c r="G106" s="17" t="s">
        <v>179</v>
      </c>
      <c r="H106" s="17" t="n">
        <v>3</v>
      </c>
      <c r="I106" s="17" t="s">
        <v>116</v>
      </c>
      <c r="J106" s="6" t="s">
        <v>188</v>
      </c>
      <c r="K106" s="5" t="s">
        <v>183</v>
      </c>
      <c r="L106" s="18" t="b">
        <f aca="false">TRUE()</f>
        <v>1</v>
      </c>
      <c r="M106" s="17"/>
      <c r="N106" s="17"/>
      <c r="O106" s="17"/>
      <c r="P106" s="17" t="s">
        <v>65</v>
      </c>
      <c r="Q106" s="5"/>
      <c r="R106" s="20" t="n">
        <f aca="false">COUNTIF($A$2:$A$2000,A106)</f>
        <v>3</v>
      </c>
      <c r="S106" s="20" t="n">
        <f aca="false">COUNTIFS($A$2:$A$2000,A106,$L$2:$L$2000,TRUE())</f>
        <v>1</v>
      </c>
      <c r="T106" s="21" t="str">
        <f aca="false">IF(AND(R106&gt;=2,R106&lt;=4,S106=1),"OK","CHECK")</f>
        <v>OK</v>
      </c>
    </row>
    <row r="107" customFormat="false" ht="15" hidden="false" customHeight="false" outlineLevel="0" collapsed="false">
      <c r="A107" s="10" t="s">
        <v>190</v>
      </c>
      <c r="B107" s="10" t="s">
        <v>34</v>
      </c>
      <c r="C107" s="10" t="n">
        <v>1</v>
      </c>
      <c r="D107" s="10" t="s">
        <v>76</v>
      </c>
      <c r="E107" s="11" t="s">
        <v>77</v>
      </c>
      <c r="F107" s="10" t="n">
        <v>5</v>
      </c>
      <c r="G107" s="10" t="s">
        <v>179</v>
      </c>
      <c r="H107" s="10" t="n">
        <v>4</v>
      </c>
      <c r="I107" s="10" t="s">
        <v>116</v>
      </c>
      <c r="J107" s="12" t="s">
        <v>191</v>
      </c>
      <c r="K107" s="11" t="s">
        <v>186</v>
      </c>
      <c r="L107" s="13" t="b">
        <f aca="false">FALSE()</f>
        <v>0</v>
      </c>
      <c r="M107" s="10"/>
      <c r="N107" s="10"/>
      <c r="O107" s="10"/>
      <c r="P107" s="10" t="s">
        <v>65</v>
      </c>
      <c r="Q107" s="12" t="s">
        <v>192</v>
      </c>
      <c r="R107" s="15" t="n">
        <f aca="false">COUNTIF($A$2:$A$2000,A107)</f>
        <v>3</v>
      </c>
      <c r="S107" s="15" t="n">
        <f aca="false">COUNTIFS($A$2:$A$2000,A107,$L$2:$L$2000,TRUE())</f>
        <v>1</v>
      </c>
      <c r="T107" s="16" t="str">
        <f aca="false">IF(AND(R107&gt;=2,R107&lt;=4,S107=1),"OK","CHECK")</f>
        <v>OK</v>
      </c>
    </row>
    <row r="108" customFormat="false" ht="15" hidden="false" customHeight="false" outlineLevel="0" collapsed="false">
      <c r="A108" s="17" t="s">
        <v>190</v>
      </c>
      <c r="B108" s="17" t="s">
        <v>34</v>
      </c>
      <c r="C108" s="17" t="n">
        <v>1</v>
      </c>
      <c r="D108" s="17" t="s">
        <v>76</v>
      </c>
      <c r="E108" s="5" t="s">
        <v>77</v>
      </c>
      <c r="F108" s="17" t="n">
        <v>5</v>
      </c>
      <c r="G108" s="17" t="s">
        <v>179</v>
      </c>
      <c r="H108" s="17" t="n">
        <v>4</v>
      </c>
      <c r="I108" s="17" t="s">
        <v>116</v>
      </c>
      <c r="J108" s="6" t="s">
        <v>191</v>
      </c>
      <c r="K108" s="5" t="s">
        <v>181</v>
      </c>
      <c r="L108" s="18" t="b">
        <f aca="false">FALSE()</f>
        <v>0</v>
      </c>
      <c r="M108" s="17"/>
      <c r="N108" s="17"/>
      <c r="O108" s="17"/>
      <c r="P108" s="17" t="s">
        <v>65</v>
      </c>
      <c r="Q108" s="5"/>
      <c r="R108" s="20" t="n">
        <f aca="false">COUNTIF($A$2:$A$2000,A108)</f>
        <v>3</v>
      </c>
      <c r="S108" s="20" t="n">
        <f aca="false">COUNTIFS($A$2:$A$2000,A108,$L$2:$L$2000,TRUE())</f>
        <v>1</v>
      </c>
      <c r="T108" s="21" t="str">
        <f aca="false">IF(AND(R108&gt;=2,R108&lt;=4,S108=1),"OK","CHECK")</f>
        <v>OK</v>
      </c>
    </row>
    <row r="109" customFormat="false" ht="15" hidden="false" customHeight="false" outlineLevel="0" collapsed="false">
      <c r="A109" s="17" t="s">
        <v>190</v>
      </c>
      <c r="B109" s="17" t="s">
        <v>34</v>
      </c>
      <c r="C109" s="17" t="n">
        <v>1</v>
      </c>
      <c r="D109" s="17" t="s">
        <v>76</v>
      </c>
      <c r="E109" s="5" t="s">
        <v>77</v>
      </c>
      <c r="F109" s="17" t="n">
        <v>5</v>
      </c>
      <c r="G109" s="17" t="s">
        <v>179</v>
      </c>
      <c r="H109" s="17" t="n">
        <v>4</v>
      </c>
      <c r="I109" s="17" t="s">
        <v>116</v>
      </c>
      <c r="J109" s="6" t="s">
        <v>191</v>
      </c>
      <c r="K109" s="5" t="s">
        <v>189</v>
      </c>
      <c r="L109" s="18" t="b">
        <f aca="false">TRUE()</f>
        <v>1</v>
      </c>
      <c r="M109" s="17"/>
      <c r="N109" s="17"/>
      <c r="O109" s="17"/>
      <c r="P109" s="17" t="s">
        <v>65</v>
      </c>
      <c r="Q109" s="5"/>
      <c r="R109" s="20" t="n">
        <f aca="false">COUNTIF($A$2:$A$2000,A109)</f>
        <v>3</v>
      </c>
      <c r="S109" s="20" t="n">
        <f aca="false">COUNTIFS($A$2:$A$2000,A109,$L$2:$L$2000,TRUE())</f>
        <v>1</v>
      </c>
      <c r="T109" s="21" t="str">
        <f aca="false">IF(AND(R109&gt;=2,R109&lt;=4,S109=1),"OK","CHECK")</f>
        <v>OK</v>
      </c>
    </row>
    <row r="110" customFormat="false" ht="15" hidden="false" customHeight="false" outlineLevel="0" collapsed="false">
      <c r="A110" s="10" t="s">
        <v>193</v>
      </c>
      <c r="B110" s="10" t="s">
        <v>34</v>
      </c>
      <c r="C110" s="10" t="n">
        <v>1</v>
      </c>
      <c r="D110" s="10" t="s">
        <v>76</v>
      </c>
      <c r="E110" s="11" t="s">
        <v>77</v>
      </c>
      <c r="F110" s="10" t="n">
        <v>5</v>
      </c>
      <c r="G110" s="10" t="s">
        <v>179</v>
      </c>
      <c r="H110" s="10" t="n">
        <v>5</v>
      </c>
      <c r="I110" s="10" t="s">
        <v>116</v>
      </c>
      <c r="J110" s="12" t="s">
        <v>194</v>
      </c>
      <c r="K110" s="11" t="s">
        <v>186</v>
      </c>
      <c r="L110" s="13" t="b">
        <f aca="false">TRUE()</f>
        <v>1</v>
      </c>
      <c r="M110" s="10"/>
      <c r="N110" s="10"/>
      <c r="O110" s="10"/>
      <c r="P110" s="10" t="s">
        <v>65</v>
      </c>
      <c r="Q110" s="11"/>
      <c r="R110" s="15" t="n">
        <f aca="false">COUNTIF($A$2:$A$2000,A110)</f>
        <v>3</v>
      </c>
      <c r="S110" s="15" t="n">
        <f aca="false">COUNTIFS($A$2:$A$2000,A110,$L$2:$L$2000,TRUE())</f>
        <v>1</v>
      </c>
      <c r="T110" s="16" t="str">
        <f aca="false">IF(AND(R110&gt;=2,R110&lt;=4,S110=1),"OK","CHECK")</f>
        <v>OK</v>
      </c>
    </row>
    <row r="111" customFormat="false" ht="15" hidden="false" customHeight="false" outlineLevel="0" collapsed="false">
      <c r="A111" s="17" t="s">
        <v>193</v>
      </c>
      <c r="B111" s="17" t="s">
        <v>34</v>
      </c>
      <c r="C111" s="17" t="n">
        <v>1</v>
      </c>
      <c r="D111" s="17" t="s">
        <v>76</v>
      </c>
      <c r="E111" s="5" t="s">
        <v>77</v>
      </c>
      <c r="F111" s="17" t="n">
        <v>5</v>
      </c>
      <c r="G111" s="17" t="s">
        <v>179</v>
      </c>
      <c r="H111" s="17" t="n">
        <v>5</v>
      </c>
      <c r="I111" s="17" t="s">
        <v>116</v>
      </c>
      <c r="J111" s="6" t="s">
        <v>194</v>
      </c>
      <c r="K111" s="5" t="s">
        <v>189</v>
      </c>
      <c r="L111" s="18" t="b">
        <f aca="false">FALSE()</f>
        <v>0</v>
      </c>
      <c r="M111" s="17"/>
      <c r="N111" s="17"/>
      <c r="O111" s="17"/>
      <c r="P111" s="17" t="s">
        <v>65</v>
      </c>
      <c r="Q111" s="5"/>
      <c r="R111" s="20" t="n">
        <f aca="false">COUNTIF($A$2:$A$2000,A111)</f>
        <v>3</v>
      </c>
      <c r="S111" s="20" t="n">
        <f aca="false">COUNTIFS($A$2:$A$2000,A111,$L$2:$L$2000,TRUE())</f>
        <v>1</v>
      </c>
      <c r="T111" s="21" t="str">
        <f aca="false">IF(AND(R111&gt;=2,R111&lt;=4,S111=1),"OK","CHECK")</f>
        <v>OK</v>
      </c>
    </row>
    <row r="112" customFormat="false" ht="15" hidden="false" customHeight="false" outlineLevel="0" collapsed="false">
      <c r="A112" s="17" t="s">
        <v>193</v>
      </c>
      <c r="B112" s="17" t="s">
        <v>34</v>
      </c>
      <c r="C112" s="17" t="n">
        <v>1</v>
      </c>
      <c r="D112" s="17" t="s">
        <v>76</v>
      </c>
      <c r="E112" s="5" t="s">
        <v>77</v>
      </c>
      <c r="F112" s="17" t="n">
        <v>5</v>
      </c>
      <c r="G112" s="17" t="s">
        <v>179</v>
      </c>
      <c r="H112" s="17" t="n">
        <v>5</v>
      </c>
      <c r="I112" s="17" t="s">
        <v>116</v>
      </c>
      <c r="J112" s="6" t="s">
        <v>194</v>
      </c>
      <c r="K112" s="5" t="s">
        <v>182</v>
      </c>
      <c r="L112" s="18" t="b">
        <f aca="false">FALSE()</f>
        <v>0</v>
      </c>
      <c r="M112" s="17"/>
      <c r="N112" s="17"/>
      <c r="O112" s="17"/>
      <c r="P112" s="17" t="s">
        <v>65</v>
      </c>
      <c r="Q112" s="5"/>
      <c r="R112" s="20" t="n">
        <f aca="false">COUNTIF($A$2:$A$2000,A112)</f>
        <v>3</v>
      </c>
      <c r="S112" s="20" t="n">
        <f aca="false">COUNTIFS($A$2:$A$2000,A112,$L$2:$L$2000,TRUE())</f>
        <v>1</v>
      </c>
      <c r="T112" s="21" t="str">
        <f aca="false">IF(AND(R112&gt;=2,R112&lt;=4,S112=1),"OK","CHECK")</f>
        <v>OK</v>
      </c>
    </row>
    <row r="113" customFormat="false" ht="15" hidden="false" customHeight="false" outlineLevel="0" collapsed="false">
      <c r="A113" s="10" t="s">
        <v>195</v>
      </c>
      <c r="B113" s="10" t="s">
        <v>34</v>
      </c>
      <c r="C113" s="10" t="n">
        <v>1</v>
      </c>
      <c r="D113" s="10" t="s">
        <v>76</v>
      </c>
      <c r="E113" s="11" t="s">
        <v>77</v>
      </c>
      <c r="F113" s="10" t="n">
        <v>5</v>
      </c>
      <c r="G113" s="10" t="s">
        <v>179</v>
      </c>
      <c r="H113" s="10" t="n">
        <v>6</v>
      </c>
      <c r="I113" s="10" t="s">
        <v>92</v>
      </c>
      <c r="J113" s="11" t="s">
        <v>93</v>
      </c>
      <c r="K113" s="12" t="s">
        <v>188</v>
      </c>
      <c r="L113" s="13" t="b">
        <f aca="false">FALSE()</f>
        <v>0</v>
      </c>
      <c r="M113" s="10"/>
      <c r="N113" s="14" t="s">
        <v>196</v>
      </c>
      <c r="O113" s="10"/>
      <c r="P113" s="10" t="s">
        <v>65</v>
      </c>
      <c r="Q113" s="11"/>
      <c r="R113" s="15" t="n">
        <f aca="false">COUNTIF($A$2:$A$2000,A113)</f>
        <v>3</v>
      </c>
      <c r="S113" s="15" t="n">
        <f aca="false">COUNTIFS($A$2:$A$2000,A113,$L$2:$L$2000,TRUE())</f>
        <v>1</v>
      </c>
      <c r="T113" s="16" t="str">
        <f aca="false">IF(AND(R113&gt;=2,R113&lt;=4,S113=1),"OK","CHECK")</f>
        <v>OK</v>
      </c>
    </row>
    <row r="114" customFormat="false" ht="15" hidden="false" customHeight="false" outlineLevel="0" collapsed="false">
      <c r="A114" s="17" t="s">
        <v>195</v>
      </c>
      <c r="B114" s="17" t="s">
        <v>34</v>
      </c>
      <c r="C114" s="17" t="n">
        <v>1</v>
      </c>
      <c r="D114" s="17" t="s">
        <v>76</v>
      </c>
      <c r="E114" s="5" t="s">
        <v>77</v>
      </c>
      <c r="F114" s="17" t="n">
        <v>5</v>
      </c>
      <c r="G114" s="17" t="s">
        <v>179</v>
      </c>
      <c r="H114" s="17" t="n">
        <v>6</v>
      </c>
      <c r="I114" s="17" t="s">
        <v>92</v>
      </c>
      <c r="J114" s="5" t="s">
        <v>93</v>
      </c>
      <c r="K114" s="6" t="s">
        <v>194</v>
      </c>
      <c r="L114" s="18" t="b">
        <f aca="false">FALSE()</f>
        <v>0</v>
      </c>
      <c r="M114" s="17"/>
      <c r="N114" s="19" t="s">
        <v>197</v>
      </c>
      <c r="O114" s="17"/>
      <c r="P114" s="17" t="s">
        <v>65</v>
      </c>
      <c r="Q114" s="5"/>
      <c r="R114" s="20" t="n">
        <f aca="false">COUNTIF($A$2:$A$2000,A114)</f>
        <v>3</v>
      </c>
      <c r="S114" s="20" t="n">
        <f aca="false">COUNTIFS($A$2:$A$2000,A114,$L$2:$L$2000,TRUE())</f>
        <v>1</v>
      </c>
      <c r="T114" s="21" t="str">
        <f aca="false">IF(AND(R114&gt;=2,R114&lt;=4,S114=1),"OK","CHECK")</f>
        <v>OK</v>
      </c>
    </row>
    <row r="115" customFormat="false" ht="15" hidden="false" customHeight="false" outlineLevel="0" collapsed="false">
      <c r="A115" s="17" t="s">
        <v>195</v>
      </c>
      <c r="B115" s="17" t="s">
        <v>34</v>
      </c>
      <c r="C115" s="17" t="n">
        <v>1</v>
      </c>
      <c r="D115" s="17" t="s">
        <v>76</v>
      </c>
      <c r="E115" s="5" t="s">
        <v>77</v>
      </c>
      <c r="F115" s="17" t="n">
        <v>5</v>
      </c>
      <c r="G115" s="17" t="s">
        <v>179</v>
      </c>
      <c r="H115" s="17" t="n">
        <v>6</v>
      </c>
      <c r="I115" s="17" t="s">
        <v>92</v>
      </c>
      <c r="J115" s="5" t="s">
        <v>93</v>
      </c>
      <c r="K115" s="6" t="s">
        <v>191</v>
      </c>
      <c r="L115" s="18" t="b">
        <f aca="false">TRUE()</f>
        <v>1</v>
      </c>
      <c r="M115" s="17"/>
      <c r="N115" s="19" t="s">
        <v>198</v>
      </c>
      <c r="O115" s="17"/>
      <c r="P115" s="17" t="s">
        <v>65</v>
      </c>
      <c r="Q115" s="5"/>
      <c r="R115" s="20" t="n">
        <f aca="false">COUNTIF($A$2:$A$2000,A115)</f>
        <v>3</v>
      </c>
      <c r="S115" s="20" t="n">
        <f aca="false">COUNTIFS($A$2:$A$2000,A115,$L$2:$L$2000,TRUE())</f>
        <v>1</v>
      </c>
      <c r="T115" s="21" t="str">
        <f aca="false">IF(AND(R115&gt;=2,R115&lt;=4,S115=1),"OK","CHECK")</f>
        <v>OK</v>
      </c>
    </row>
    <row r="116" customFormat="false" ht="15" hidden="false" customHeight="false" outlineLevel="0" collapsed="false">
      <c r="A116" s="10" t="s">
        <v>199</v>
      </c>
      <c r="B116" s="10" t="s">
        <v>34</v>
      </c>
      <c r="C116" s="10" t="n">
        <v>1</v>
      </c>
      <c r="D116" s="10" t="s">
        <v>76</v>
      </c>
      <c r="E116" s="11" t="s">
        <v>77</v>
      </c>
      <c r="F116" s="10" t="n">
        <v>5</v>
      </c>
      <c r="G116" s="10" t="s">
        <v>179</v>
      </c>
      <c r="H116" s="10" t="n">
        <v>7</v>
      </c>
      <c r="I116" s="10" t="s">
        <v>45</v>
      </c>
      <c r="J116" s="11" t="s">
        <v>200</v>
      </c>
      <c r="K116" s="12" t="s">
        <v>188</v>
      </c>
      <c r="L116" s="13" t="b">
        <f aca="false">FALSE()</f>
        <v>0</v>
      </c>
      <c r="M116" s="10"/>
      <c r="N116" s="14" t="s">
        <v>196</v>
      </c>
      <c r="O116" s="10"/>
      <c r="P116" s="10" t="s">
        <v>65</v>
      </c>
      <c r="Q116" s="11"/>
      <c r="R116" s="15" t="n">
        <f aca="false">COUNTIF($A$2:$A$2000,A116)</f>
        <v>3</v>
      </c>
      <c r="S116" s="15" t="n">
        <f aca="false">COUNTIFS($A$2:$A$2000,A116,$L$2:$L$2000,TRUE())</f>
        <v>1</v>
      </c>
      <c r="T116" s="16" t="str">
        <f aca="false">IF(AND(R116&gt;=2,R116&lt;=4,S116=1),"OK","CHECK")</f>
        <v>OK</v>
      </c>
    </row>
    <row r="117" customFormat="false" ht="15" hidden="false" customHeight="false" outlineLevel="0" collapsed="false">
      <c r="A117" s="17" t="s">
        <v>199</v>
      </c>
      <c r="B117" s="17" t="s">
        <v>34</v>
      </c>
      <c r="C117" s="17" t="n">
        <v>1</v>
      </c>
      <c r="D117" s="17" t="s">
        <v>76</v>
      </c>
      <c r="E117" s="5" t="s">
        <v>77</v>
      </c>
      <c r="F117" s="17" t="n">
        <v>5</v>
      </c>
      <c r="G117" s="17" t="s">
        <v>179</v>
      </c>
      <c r="H117" s="17" t="n">
        <v>7</v>
      </c>
      <c r="I117" s="17" t="s">
        <v>45</v>
      </c>
      <c r="J117" s="5" t="s">
        <v>200</v>
      </c>
      <c r="K117" s="6" t="s">
        <v>180</v>
      </c>
      <c r="L117" s="18" t="b">
        <f aca="false">FALSE()</f>
        <v>0</v>
      </c>
      <c r="M117" s="17"/>
      <c r="N117" s="19" t="s">
        <v>201</v>
      </c>
      <c r="O117" s="17"/>
      <c r="P117" s="17" t="s">
        <v>65</v>
      </c>
      <c r="Q117" s="5"/>
      <c r="R117" s="20" t="n">
        <f aca="false">COUNTIF($A$2:$A$2000,A117)</f>
        <v>3</v>
      </c>
      <c r="S117" s="20" t="n">
        <f aca="false">COUNTIFS($A$2:$A$2000,A117,$L$2:$L$2000,TRUE())</f>
        <v>1</v>
      </c>
      <c r="T117" s="21" t="str">
        <f aca="false">IF(AND(R117&gt;=2,R117&lt;=4,S117=1),"OK","CHECK")</f>
        <v>OK</v>
      </c>
    </row>
    <row r="118" customFormat="false" ht="15" hidden="false" customHeight="false" outlineLevel="0" collapsed="false">
      <c r="A118" s="17" t="s">
        <v>199</v>
      </c>
      <c r="B118" s="17" t="s">
        <v>34</v>
      </c>
      <c r="C118" s="17" t="n">
        <v>1</v>
      </c>
      <c r="D118" s="17" t="s">
        <v>76</v>
      </c>
      <c r="E118" s="5" t="s">
        <v>77</v>
      </c>
      <c r="F118" s="17" t="n">
        <v>5</v>
      </c>
      <c r="G118" s="17" t="s">
        <v>179</v>
      </c>
      <c r="H118" s="17" t="n">
        <v>7</v>
      </c>
      <c r="I118" s="17" t="s">
        <v>45</v>
      </c>
      <c r="J118" s="5" t="s">
        <v>200</v>
      </c>
      <c r="K118" s="6" t="s">
        <v>185</v>
      </c>
      <c r="L118" s="18" t="b">
        <f aca="false">TRUE()</f>
        <v>1</v>
      </c>
      <c r="M118" s="17"/>
      <c r="N118" s="19" t="s">
        <v>202</v>
      </c>
      <c r="O118" s="17"/>
      <c r="P118" s="17" t="s">
        <v>65</v>
      </c>
      <c r="Q118" s="5"/>
      <c r="R118" s="20" t="n">
        <f aca="false">COUNTIF($A$2:$A$2000,A118)</f>
        <v>3</v>
      </c>
      <c r="S118" s="20" t="n">
        <f aca="false">COUNTIFS($A$2:$A$2000,A118,$L$2:$L$2000,TRUE())</f>
        <v>1</v>
      </c>
      <c r="T118" s="21" t="str">
        <f aca="false">IF(AND(R118&gt;=2,R118&lt;=4,S118=1),"OK","CHECK")</f>
        <v>OK</v>
      </c>
    </row>
    <row r="119" customFormat="false" ht="15" hidden="false" customHeight="false" outlineLevel="0" collapsed="false">
      <c r="A119" s="10" t="s">
        <v>203</v>
      </c>
      <c r="B119" s="10" t="s">
        <v>34</v>
      </c>
      <c r="C119" s="10" t="n">
        <v>1</v>
      </c>
      <c r="D119" s="10" t="s">
        <v>76</v>
      </c>
      <c r="E119" s="11" t="s">
        <v>77</v>
      </c>
      <c r="F119" s="10" t="n">
        <v>5</v>
      </c>
      <c r="G119" s="10" t="s">
        <v>179</v>
      </c>
      <c r="H119" s="10" t="n">
        <v>8</v>
      </c>
      <c r="I119" s="10" t="s">
        <v>92</v>
      </c>
      <c r="J119" s="11" t="s">
        <v>93</v>
      </c>
      <c r="K119" s="12" t="s">
        <v>188</v>
      </c>
      <c r="L119" s="13" t="b">
        <f aca="false">TRUE()</f>
        <v>1</v>
      </c>
      <c r="M119" s="10"/>
      <c r="N119" s="14" t="s">
        <v>196</v>
      </c>
      <c r="O119" s="10"/>
      <c r="P119" s="10" t="s">
        <v>65</v>
      </c>
      <c r="Q119" s="11"/>
      <c r="R119" s="15" t="n">
        <f aca="false">COUNTIF($A$2:$A$2000,A119)</f>
        <v>3</v>
      </c>
      <c r="S119" s="15" t="n">
        <f aca="false">COUNTIFS($A$2:$A$2000,A119,$L$2:$L$2000,TRUE())</f>
        <v>1</v>
      </c>
      <c r="T119" s="16" t="str">
        <f aca="false">IF(AND(R119&gt;=2,R119&lt;=4,S119=1),"OK","CHECK")</f>
        <v>OK</v>
      </c>
    </row>
    <row r="120" customFormat="false" ht="15" hidden="false" customHeight="false" outlineLevel="0" collapsed="false">
      <c r="A120" s="17" t="s">
        <v>203</v>
      </c>
      <c r="B120" s="17" t="s">
        <v>34</v>
      </c>
      <c r="C120" s="17" t="n">
        <v>1</v>
      </c>
      <c r="D120" s="17" t="s">
        <v>76</v>
      </c>
      <c r="E120" s="5" t="s">
        <v>77</v>
      </c>
      <c r="F120" s="17" t="n">
        <v>5</v>
      </c>
      <c r="G120" s="17" t="s">
        <v>179</v>
      </c>
      <c r="H120" s="17" t="n">
        <v>8</v>
      </c>
      <c r="I120" s="17" t="s">
        <v>92</v>
      </c>
      <c r="J120" s="5" t="s">
        <v>93</v>
      </c>
      <c r="K120" s="6" t="s">
        <v>185</v>
      </c>
      <c r="L120" s="18" t="b">
        <f aca="false">FALSE()</f>
        <v>0</v>
      </c>
      <c r="M120" s="17"/>
      <c r="N120" s="19" t="s">
        <v>202</v>
      </c>
      <c r="O120" s="17"/>
      <c r="P120" s="17" t="s">
        <v>65</v>
      </c>
      <c r="Q120" s="5"/>
      <c r="R120" s="20" t="n">
        <f aca="false">COUNTIF($A$2:$A$2000,A120)</f>
        <v>3</v>
      </c>
      <c r="S120" s="20" t="n">
        <f aca="false">COUNTIFS($A$2:$A$2000,A120,$L$2:$L$2000,TRUE())</f>
        <v>1</v>
      </c>
      <c r="T120" s="21" t="str">
        <f aca="false">IF(AND(R120&gt;=2,R120&lt;=4,S120=1),"OK","CHECK")</f>
        <v>OK</v>
      </c>
    </row>
    <row r="121" customFormat="false" ht="15" hidden="false" customHeight="false" outlineLevel="0" collapsed="false">
      <c r="A121" s="17" t="s">
        <v>203</v>
      </c>
      <c r="B121" s="17" t="s">
        <v>34</v>
      </c>
      <c r="C121" s="17" t="n">
        <v>1</v>
      </c>
      <c r="D121" s="17" t="s">
        <v>76</v>
      </c>
      <c r="E121" s="5" t="s">
        <v>77</v>
      </c>
      <c r="F121" s="17" t="n">
        <v>5</v>
      </c>
      <c r="G121" s="17" t="s">
        <v>179</v>
      </c>
      <c r="H121" s="17" t="n">
        <v>8</v>
      </c>
      <c r="I121" s="17" t="s">
        <v>92</v>
      </c>
      <c r="J121" s="5" t="s">
        <v>93</v>
      </c>
      <c r="K121" s="6" t="s">
        <v>191</v>
      </c>
      <c r="L121" s="18" t="b">
        <f aca="false">FALSE()</f>
        <v>0</v>
      </c>
      <c r="M121" s="17"/>
      <c r="N121" s="19" t="s">
        <v>198</v>
      </c>
      <c r="O121" s="17"/>
      <c r="P121" s="17" t="s">
        <v>65</v>
      </c>
      <c r="Q121" s="5"/>
      <c r="R121" s="20" t="n">
        <f aca="false">COUNTIF($A$2:$A$2000,A121)</f>
        <v>3</v>
      </c>
      <c r="S121" s="20" t="n">
        <f aca="false">COUNTIFS($A$2:$A$2000,A121,$L$2:$L$2000,TRUE())</f>
        <v>1</v>
      </c>
      <c r="T121" s="21" t="str">
        <f aca="false">IF(AND(R121&gt;=2,R121&lt;=4,S121=1),"OK","CHECK")</f>
        <v>OK</v>
      </c>
    </row>
  </sheetData>
  <autoFilter ref="A1:T121"/>
  <conditionalFormatting sqref="K2:L2000">
    <cfRule type="expression" priority="2" aboveAverage="0" equalAverage="0" bottom="0" percent="0" rank="0" text="" dxfId="7">
      <formula>$L2=1</formula>
    </cfRule>
  </conditionalFormatting>
  <conditionalFormatting sqref="T2:T2000">
    <cfRule type="expression" priority="3" aboveAverage="0" equalAverage="0" bottom="0" percent="0" rank="0" text="" dxfId="8">
      <formula>$T2="CHECK"</formula>
    </cfRule>
  </conditionalFormatting>
  <conditionalFormatting sqref="P2:P2000">
    <cfRule type="expression" priority="4" aboveAverage="0" equalAverage="0" bottom="0" percent="0" rank="0" text="" dxfId="7">
      <formula>$P2="reviewed"</formula>
    </cfRule>
    <cfRule type="expression" priority="5" aboveAverage="0" equalAverage="0" bottom="0" percent="0" rank="0" text="" dxfId="8">
      <formula>$P2="rejected"</formula>
    </cfRule>
  </conditionalFormatting>
  <dataValidations count="3">
    <dataValidation allowBlank="false" errorStyle="stop" operator="between" showDropDown="false" showErrorMessage="false" showInputMessage="false" sqref="I2:I1121" type="list">
      <formula1>"SELECT,ASSIST,LISTEN"</formula1>
      <formula2>0</formula2>
    </dataValidation>
    <dataValidation allowBlank="false" errorStyle="stop" operator="between" showDropDown="false" showErrorMessage="false" showInputMessage="false" sqref="L2:L1121" type="list">
      <formula1>"TRUE,FALSE"</formula1>
      <formula2>0</formula2>
    </dataValidation>
    <dataValidation allowBlank="false" errorStyle="stop" operator="between" showDropDown="false" showErrorMessage="false" showInputMessage="false" sqref="P2:P1121" type="list">
      <formula1>"draft,reviewed,rejected"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80"/>
  </cols>
  <sheetData>
    <row r="1" customFormat="false" ht="15" hidden="false" customHeight="false" outlineLevel="0" collapsed="false">
      <c r="A1" s="22" t="s">
        <v>204</v>
      </c>
      <c r="B1" s="17"/>
      <c r="C1" s="5"/>
    </row>
    <row r="2" customFormat="false" ht="15" hidden="false" customHeight="false" outlineLevel="0" collapsed="false">
      <c r="A2" s="17"/>
      <c r="B2" s="17"/>
      <c r="C2" s="5"/>
    </row>
    <row r="3" customFormat="false" ht="15" hidden="false" customHeight="false" outlineLevel="0" collapsed="false">
      <c r="A3" s="17" t="s">
        <v>205</v>
      </c>
      <c r="B3" s="17" t="n">
        <f aca="false">COUNTA(content!A2:A2000)</f>
        <v>120</v>
      </c>
      <c r="C3" s="5" t="s">
        <v>206</v>
      </c>
    </row>
    <row r="4" customFormat="false" ht="15" hidden="false" customHeight="false" outlineLevel="0" collapsed="false">
      <c r="A4" s="17" t="s">
        <v>207</v>
      </c>
      <c r="B4" s="17" t="n">
        <f aca="false">COUNTIFS(content!I2:I2000,"SELECT",content!L2:L2000,TRUE())</f>
        <v>13</v>
      </c>
      <c r="C4" s="5" t="s">
        <v>208</v>
      </c>
    </row>
    <row r="5" customFormat="false" ht="15" hidden="false" customHeight="false" outlineLevel="0" collapsed="false">
      <c r="A5" s="17" t="s">
        <v>209</v>
      </c>
      <c r="B5" s="17" t="n">
        <f aca="false">COUNTIFS(content!I2:I2000,"ASSIST",content!L2:L2000,TRUE())</f>
        <v>16</v>
      </c>
      <c r="C5" s="5" t="s">
        <v>210</v>
      </c>
    </row>
    <row r="6" customFormat="false" ht="15" hidden="false" customHeight="false" outlineLevel="0" collapsed="false">
      <c r="A6" s="17" t="s">
        <v>211</v>
      </c>
      <c r="B6" s="17" t="n">
        <f aca="false">COUNTIFS(content!I2:I2000,"LISTEN",content!L2:L2000,TRUE())</f>
        <v>11</v>
      </c>
      <c r="C6" s="5" t="s">
        <v>212</v>
      </c>
    </row>
    <row r="7" customFormat="false" ht="15" hidden="false" customHeight="false" outlineLevel="0" collapsed="false">
      <c r="A7" s="17" t="s">
        <v>213</v>
      </c>
      <c r="B7" s="17" t="n">
        <f aca="false">B4+B5+B6</f>
        <v>40</v>
      </c>
      <c r="C7" s="5"/>
    </row>
    <row r="8" customFormat="false" ht="15" hidden="false" customHeight="false" outlineLevel="0" collapsed="false">
      <c r="A8" s="17" t="s">
        <v>214</v>
      </c>
      <c r="B8" s="17" t="n">
        <f aca="false">COUNTIF(content!T2:T2000,"CHECK")</f>
        <v>0</v>
      </c>
      <c r="C8" s="5" t="s">
        <v>215</v>
      </c>
    </row>
    <row r="9" customFormat="false" ht="15" hidden="false" customHeight="false" outlineLevel="0" collapsed="false">
      <c r="A9" s="17" t="s">
        <v>216</v>
      </c>
      <c r="B9" s="17" t="n">
        <f aca="false">COUNTIF(content!P2:P2000,"draft")</f>
        <v>120</v>
      </c>
      <c r="C9" s="5" t="s">
        <v>217</v>
      </c>
    </row>
    <row r="10" customFormat="false" ht="15" hidden="false" customHeight="false" outlineLevel="0" collapsed="false">
      <c r="A10" s="17" t="s">
        <v>218</v>
      </c>
      <c r="B10" s="17" t="n">
        <f aca="false">COUNTIF(content!P2:P2000,"reviewed")</f>
        <v>0</v>
      </c>
      <c r="C10" s="5" t="s">
        <v>219</v>
      </c>
    </row>
    <row r="11" customFormat="false" ht="15" hidden="false" customHeight="false" outlineLevel="0" collapsed="false">
      <c r="A11" s="17" t="s">
        <v>220</v>
      </c>
      <c r="B11" s="17" t="n">
        <f aca="false">COUNTIF(content!P2:P2000,"rejected")</f>
        <v>0</v>
      </c>
      <c r="C11" s="5" t="s">
        <v>221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2026-10-24T13:29:03Z</dcterms:created>
  <dc:creator>openpyxl</dc:creator>
  <dc:description/>
  <dc:language>en-US</dc:language>
  <cp:lastModifiedBy/>
  <dcterms:modified xsi:type="dcterms:W3CDTF">2026-10-24T13:29:03Z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